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N:\OTUS\OTUS-NE-BASIC+PROFESSIONAL\Professional\8 - OSPF Фильтрация\HW\"/>
    </mc:Choice>
  </mc:AlternateContent>
  <bookViews>
    <workbookView xWindow="0" yWindow="0" windowWidth="28800" windowHeight="12585"/>
  </bookViews>
  <sheets>
    <sheet name="IP" sheetId="1" r:id="rId1"/>
    <sheet name="VLAN" sheetId="2" r:id="rId2"/>
    <sheet name="Int Configs" sheetId="3" r:id="rId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7" i="3" l="1"/>
  <c r="A12" i="3"/>
  <c r="A18" i="3"/>
  <c r="A24" i="3"/>
  <c r="A26" i="3"/>
  <c r="A28" i="3"/>
  <c r="A29" i="3"/>
  <c r="A30" i="3"/>
  <c r="A31" i="3"/>
  <c r="A2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C28" i="3" s="1"/>
  <c r="B29" i="3"/>
  <c r="C29" i="3" s="1"/>
  <c r="B30" i="3"/>
  <c r="C30" i="3" s="1"/>
  <c r="B31" i="3"/>
  <c r="C31" i="3" s="1"/>
  <c r="B3" i="3"/>
  <c r="B4" i="3"/>
  <c r="B5" i="3"/>
  <c r="B6" i="3"/>
  <c r="B7" i="3"/>
  <c r="B2" i="3"/>
  <c r="C7" i="3" l="1"/>
  <c r="C2" i="3"/>
  <c r="C26" i="3"/>
  <c r="C24" i="3"/>
  <c r="C18" i="3"/>
  <c r="C12" i="3"/>
</calcChain>
</file>

<file path=xl/sharedStrings.xml><?xml version="1.0" encoding="utf-8"?>
<sst xmlns="http://schemas.openxmlformats.org/spreadsheetml/2006/main" count="447" uniqueCount="268">
  <si>
    <t>Москва</t>
  </si>
  <si>
    <t>e0/0</t>
  </si>
  <si>
    <t>e0/1</t>
  </si>
  <si>
    <t>e0/2</t>
  </si>
  <si>
    <t>e0/3</t>
  </si>
  <si>
    <t>Наименование устройства</t>
  </si>
  <si>
    <t>Интерфейс</t>
  </si>
  <si>
    <t>Шлюз</t>
  </si>
  <si>
    <t>VLAN</t>
  </si>
  <si>
    <t>vlan55</t>
  </si>
  <si>
    <t>eth0</t>
  </si>
  <si>
    <t>Наименование VLAN</t>
  </si>
  <si>
    <t>Номер</t>
  </si>
  <si>
    <t>Сеть</t>
  </si>
  <si>
    <t>mgmt</t>
  </si>
  <si>
    <t>192.168.10.0/24</t>
  </si>
  <si>
    <t>192.168.11.0/24</t>
  </si>
  <si>
    <t>192.168.20.0/24</t>
  </si>
  <si>
    <t>192.168.21.0/24</t>
  </si>
  <si>
    <t>192.168.30.0/24</t>
  </si>
  <si>
    <t>192.168.31.0/24</t>
  </si>
  <si>
    <t>msk-10</t>
  </si>
  <si>
    <t>msk-11</t>
  </si>
  <si>
    <t>spb-20</t>
  </si>
  <si>
    <t>spb-21</t>
  </si>
  <si>
    <t>ckd-30</t>
  </si>
  <si>
    <t>ckd-31</t>
  </si>
  <si>
    <t>lo</t>
  </si>
  <si>
    <t>172.16.254.16</t>
  </si>
  <si>
    <t>255.255.255.240</t>
  </si>
  <si>
    <t>mgmt-msk</t>
  </si>
  <si>
    <t>172.16.254.0</t>
  </si>
  <si>
    <t>mgmt-spb</t>
  </si>
  <si>
    <t>172.16.254.32</t>
  </si>
  <si>
    <t>mgmt-ckd</t>
  </si>
  <si>
    <t>255.255.255.248</t>
  </si>
  <si>
    <t>первый адрес</t>
  </si>
  <si>
    <t>последний адрес</t>
  </si>
  <si>
    <t>IP</t>
  </si>
  <si>
    <t>MASK</t>
  </si>
  <si>
    <t>MGMT</t>
  </si>
  <si>
    <t>.1</t>
  </si>
  <si>
    <t>.15</t>
  </si>
  <si>
    <t>.17</t>
  </si>
  <si>
    <t>.30</t>
  </si>
  <si>
    <t>.33</t>
  </si>
  <si>
    <t>.38</t>
  </si>
  <si>
    <t>e0/0.10</t>
  </si>
  <si>
    <t>e0/0.11</t>
  </si>
  <si>
    <t>192.168.10.2</t>
  </si>
  <si>
    <t>192.168.11.2</t>
  </si>
  <si>
    <t>255.255.255.0</t>
  </si>
  <si>
    <t>192.168.10.3</t>
  </si>
  <si>
    <t>192.168.11.3</t>
  </si>
  <si>
    <t>Примечание</t>
  </si>
  <si>
    <t>192.168.10.10</t>
  </si>
  <si>
    <t>192.168.11.10</t>
  </si>
  <si>
    <t>192.168.10.1</t>
  </si>
  <si>
    <t>192.168.11.1</t>
  </si>
  <si>
    <t>255.255.255.254</t>
  </si>
  <si>
    <t>255.255.255.255</t>
  </si>
  <si>
    <t>to R19.e0/0</t>
  </si>
  <si>
    <t>lo0</t>
  </si>
  <si>
    <t>192.168.20.10</t>
  </si>
  <si>
    <t>192.168.21.10</t>
  </si>
  <si>
    <t>192.168.20.1</t>
  </si>
  <si>
    <t>192.168.21.1</t>
  </si>
  <si>
    <t>10.0.254.42</t>
  </si>
  <si>
    <t>10.0.254.50</t>
  </si>
  <si>
    <t>10.0.254.51</t>
  </si>
  <si>
    <t>10.0.254.52</t>
  </si>
  <si>
    <t>10.0.254.53</t>
  </si>
  <si>
    <t>10.0.254.54</t>
  </si>
  <si>
    <t>10.0.254.55</t>
  </si>
  <si>
    <t>10.0.254.56</t>
  </si>
  <si>
    <t>10.0.254.57</t>
  </si>
  <si>
    <t>10.0.254.88</t>
  </si>
  <si>
    <t>172.16.255.21</t>
  </si>
  <si>
    <t>172.16.255.22</t>
  </si>
  <si>
    <t>172.16.255.23</t>
  </si>
  <si>
    <t>172.16.255.24</t>
  </si>
  <si>
    <t>172.16.255.25</t>
  </si>
  <si>
    <t>172.16.255.26</t>
  </si>
  <si>
    <t>172.16.255.27</t>
  </si>
  <si>
    <t>172.16.255.17</t>
  </si>
  <si>
    <t>172.16.255.18</t>
  </si>
  <si>
    <t>172.16.255.28</t>
  </si>
  <si>
    <t>10.0.254.140</t>
  </si>
  <si>
    <t>e0/2.30</t>
  </si>
  <si>
    <t>e0/2.31</t>
  </si>
  <si>
    <t>192.168.30.1</t>
  </si>
  <si>
    <t>192.168.31.1</t>
  </si>
  <si>
    <t>172.16.254.33</t>
  </si>
  <si>
    <t>172.16.254.34</t>
  </si>
  <si>
    <t>192.168.30.10</t>
  </si>
  <si>
    <t>192.168.31.10</t>
  </si>
  <si>
    <t>10.0.254.66</t>
  </si>
  <si>
    <t>10.0.254.68</t>
  </si>
  <si>
    <t>10.0.254.138</t>
  </si>
  <si>
    <t>172.16.255.16</t>
  </si>
  <si>
    <t>172.16.255.32</t>
  </si>
  <si>
    <t>e0/0.20</t>
  </si>
  <si>
    <t>e0/0.21</t>
  </si>
  <si>
    <t>192.168.20.3</t>
  </si>
  <si>
    <t>192.168.21.3</t>
  </si>
  <si>
    <t>192.168.20.2</t>
  </si>
  <si>
    <t>192.168.21.2</t>
  </si>
  <si>
    <t>10.0.0.12</t>
  </si>
  <si>
    <t>10.0.0.2</t>
  </si>
  <si>
    <t>10.0.0.4</t>
  </si>
  <si>
    <t>10.0.0.8</t>
  </si>
  <si>
    <t>10.0.0.6</t>
  </si>
  <si>
    <t>10.0.0.19</t>
  </si>
  <si>
    <t>10.0.0.10</t>
  </si>
  <si>
    <t>10.0.0.13</t>
  </si>
  <si>
    <t>10.0.0.7</t>
  </si>
  <si>
    <t>10.0.0.9</t>
  </si>
  <si>
    <t>10.0.0.3</t>
  </si>
  <si>
    <t>10.0.0.5</t>
  </si>
  <si>
    <t>10.0.0.11</t>
  </si>
  <si>
    <t>172.16.0.6</t>
  </si>
  <si>
    <t>172.16.0.7</t>
  </si>
  <si>
    <t>172.16.0.8</t>
  </si>
  <si>
    <t>172.16.0.9</t>
  </si>
  <si>
    <t>172.16.0.1</t>
  </si>
  <si>
    <t>vlan90</t>
  </si>
  <si>
    <t>10.0.0.27</t>
  </si>
  <si>
    <t>MOS-R14</t>
  </si>
  <si>
    <t>MOS-R15</t>
  </si>
  <si>
    <t>MOS-R12</t>
  </si>
  <si>
    <t>MOS-R13</t>
  </si>
  <si>
    <t>MOS-R19</t>
  </si>
  <si>
    <t>MOS-R20</t>
  </si>
  <si>
    <t>MOS-SW4</t>
  </si>
  <si>
    <t>MOS-SW5</t>
  </si>
  <si>
    <t>MOS-SW2</t>
  </si>
  <si>
    <t>MOS-SW3</t>
  </si>
  <si>
    <t>MOS-VPC1</t>
  </si>
  <si>
    <t>MOS-VPC7</t>
  </si>
  <si>
    <t>10.0.0.70</t>
  </si>
  <si>
    <t>10.0.0.72</t>
  </si>
  <si>
    <t>10.0.0.67</t>
  </si>
  <si>
    <t>10.0.0.69</t>
  </si>
  <si>
    <t>10.0.0.73</t>
  </si>
  <si>
    <t>10.0.0.71</t>
  </si>
  <si>
    <t>10.0.0.74</t>
  </si>
  <si>
    <t>10.0.0.75</t>
  </si>
  <si>
    <t>172.16.0.21</t>
  </si>
  <si>
    <t>172.16.0.22</t>
  </si>
  <si>
    <t>StPB-R18</t>
  </si>
  <si>
    <t>StPB-R17</t>
  </si>
  <si>
    <t>StPB-R16</t>
  </si>
  <si>
    <t>StPB-R32</t>
  </si>
  <si>
    <t>StPB-SW9</t>
  </si>
  <si>
    <t>StPB-SW10</t>
  </si>
  <si>
    <t>StPB-VPC8</t>
  </si>
  <si>
    <t>StPB-VPC</t>
  </si>
  <si>
    <t>10.0.0.139</t>
  </si>
  <si>
    <t>10.0.0.141</t>
  </si>
  <si>
    <t>10.0.0.89</t>
  </si>
  <si>
    <t>10.0.0.26</t>
  </si>
  <si>
    <t>10.0.0.21</t>
  </si>
  <si>
    <t>10.0.0.43</t>
  </si>
  <si>
    <t>10.0.0.20</t>
  </si>
  <si>
    <t>10.0.0.18</t>
  </si>
  <si>
    <t>10.0.0.41</t>
  </si>
  <si>
    <t>10.0.254.40</t>
  </si>
  <si>
    <t>to SW4 [e1/0]</t>
  </si>
  <si>
    <t>to SW5 [e1/0]</t>
  </si>
  <si>
    <t>TRI-R23</t>
  </si>
  <si>
    <t>TRI-R24</t>
  </si>
  <si>
    <t>TRI-R25</t>
  </si>
  <si>
    <t>TRI-R26</t>
  </si>
  <si>
    <t>LAM-R21</t>
  </si>
  <si>
    <t>LAB-R27</t>
  </si>
  <si>
    <t>CHY-R28</t>
  </si>
  <si>
    <t>CHY-SW29</t>
  </si>
  <si>
    <t>CHY-VPC30</t>
  </si>
  <si>
    <t>CHY-VPC31</t>
  </si>
  <si>
    <t>to R15 [e0/0]</t>
  </si>
  <si>
    <t>to R14 [e0/1]</t>
  </si>
  <si>
    <t>to R15 [e0/1]</t>
  </si>
  <si>
    <t>to R14 [e0/0]</t>
  </si>
  <si>
    <t>to R12 [e0/2]</t>
  </si>
  <si>
    <t>to R13 [e0/3]</t>
  </si>
  <si>
    <t>to R13 [e0/2]</t>
  </si>
  <si>
    <t>to R12 [e0/3]</t>
  </si>
  <si>
    <t>to LAM-R21 [e0/0]</t>
  </si>
  <si>
    <t>to R20 [e0/0]</t>
  </si>
  <si>
    <t>to R14 [e0/3]</t>
  </si>
  <si>
    <t>to R15 [e0/3]</t>
  </si>
  <si>
    <t>172.16.0.17</t>
  </si>
  <si>
    <t>to SW10 [e0/3]</t>
  </si>
  <si>
    <t>to SW9 [e0/3]</t>
  </si>
  <si>
    <t>to R18 [e0/1]</t>
  </si>
  <si>
    <t>to R16 [e0/1]</t>
  </si>
  <si>
    <t>to R17 [e0/1]</t>
  </si>
  <si>
    <t>to R16 [e0/3]</t>
  </si>
  <si>
    <t>to SW29 [e0/2]</t>
  </si>
  <si>
    <t>to R25 [e0/0]</t>
  </si>
  <si>
    <t>to R24 [e0/2]</t>
  </si>
  <si>
    <t>to R26 [e0/0]</t>
  </si>
  <si>
    <t>to R23 [e0/2]</t>
  </si>
  <si>
    <t>to R23 [e0/1]</t>
  </si>
  <si>
    <t>to R26 [e0/2]</t>
  </si>
  <si>
    <t>to LAB-R27 [e0/0]</t>
  </si>
  <si>
    <t>to R24 [e0/1]</t>
  </si>
  <si>
    <t>to R25 [e0/2]</t>
  </si>
  <si>
    <t>to StPB-R18 [e0/3]</t>
  </si>
  <si>
    <t>to StPB-R18.e0/0</t>
  </si>
  <si>
    <t>to StPB-R32.e0/0</t>
  </si>
  <si>
    <t>to TRI-R24 [e0/3]</t>
  </si>
  <si>
    <t>to TRI-R26 [e0/3]</t>
  </si>
  <si>
    <t>to LAM-R21 [e0/2]</t>
  </si>
  <si>
    <t>to StPB-R18 [e0/2]</t>
  </si>
  <si>
    <t>to CHY-R28.e0/1</t>
  </si>
  <si>
    <t>to CHY-R28 [e0/0]</t>
  </si>
  <si>
    <t>to TRI-R26 [e0/1]</t>
  </si>
  <si>
    <t>to TRI-R25 [e0/3]</t>
  </si>
  <si>
    <t>to MOS-R15 [e0/2]</t>
  </si>
  <si>
    <t>to TRI-R24 [e0/0]</t>
  </si>
  <si>
    <t>to MOS-R14 [e0/2]</t>
  </si>
  <si>
    <t>to LAM-R21 [e0/1]</t>
  </si>
  <si>
    <t>to TRI-R23 [e0/0]</t>
  </si>
  <si>
    <t>to TRI-R25 [e0/1]</t>
  </si>
  <si>
    <t>to KIT-R22 [e0/1]</t>
  </si>
  <si>
    <t>to KIT-R22 [e0/2]</t>
  </si>
  <si>
    <t>KIT-R22</t>
  </si>
  <si>
    <t>to KIT-R22 [e0/0]</t>
  </si>
  <si>
    <t>Москва (MOS)
Суммирование транспортных сетей: 10.0.0.0 (1-14)/28</t>
  </si>
  <si>
    <t>Санкт-Петербург (StPB)
Суммирование транспортных сетей: 10.0.0.64(65-78)/28</t>
  </si>
  <si>
    <t>Триада (TRI)
Суммирование транспортных сетей: 10.0.0.48(49-62)/28</t>
  </si>
  <si>
    <t>Чокурдах (CHY)
Суммирование транспортных сетей : 10.0.0.136(129-142)/28</t>
  </si>
  <si>
    <t xml:space="preserve">Ламас (LAM)
Суммирование транспортных сетей: 10.0.0.16 (17-22)/29 </t>
  </si>
  <si>
    <t>Киторн (KIT)
Суммирование транспортных сетей: 10.0.0.24(25-30)/29</t>
  </si>
  <si>
    <t>Лабытнаги (LAB)
Суммирование транспортных сетей: 10.0.254.80(81-94)/28</t>
  </si>
  <si>
    <t>IP4-адрес</t>
  </si>
  <si>
    <t>12.12.12.12</t>
  </si>
  <si>
    <t>FC02::6/128</t>
  </si>
  <si>
    <t>FC02::7/128</t>
  </si>
  <si>
    <t>Маска IPv4</t>
  </si>
  <si>
    <t>IP6/mask</t>
  </si>
  <si>
    <t xml:space="preserve">13.13.13.13 </t>
  </si>
  <si>
    <t xml:space="preserve">FC00::13/128 </t>
  </si>
  <si>
    <t>FC02::8/128</t>
  </si>
  <si>
    <t>FC02::9/128</t>
  </si>
  <si>
    <t>FC00::12/128</t>
  </si>
  <si>
    <t>FC00::14/128</t>
  </si>
  <si>
    <t xml:space="preserve">14.14.14.14 </t>
  </si>
  <si>
    <t>FC02::1/128</t>
  </si>
  <si>
    <t>FC02::2/128</t>
  </si>
  <si>
    <t>FC02::3/128</t>
  </si>
  <si>
    <t xml:space="preserve">15.15.15.15 </t>
  </si>
  <si>
    <t>FC00::15/128</t>
  </si>
  <si>
    <t>FC02::4/128</t>
  </si>
  <si>
    <t>FC02::5/128</t>
  </si>
  <si>
    <t>FC03::10/128</t>
  </si>
  <si>
    <t>e1/0</t>
  </si>
  <si>
    <t xml:space="preserve">10.0.0.15 </t>
  </si>
  <si>
    <t xml:space="preserve">10.0.0.14 </t>
  </si>
  <si>
    <t>FC01::1/128</t>
  </si>
  <si>
    <t>FC01::2/128</t>
  </si>
  <si>
    <t xml:space="preserve">19.19.19.19 </t>
  </si>
  <si>
    <t>FC00::19/128</t>
  </si>
  <si>
    <t>FC02::A/128</t>
  </si>
  <si>
    <t xml:space="preserve">20.20.20.20 </t>
  </si>
  <si>
    <t>FC03::11/128</t>
  </si>
  <si>
    <t>FC00::20/128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</si>
</sst>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305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5" borderId="1" xfId="0" applyFill="1" applyBorder="1"/>
    <xf numFmtId="0" fontId="1" fillId="3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/>
    </xf>
    <xf numFmtId="0" fontId="0" fillId="11" borderId="1" xfId="0" applyFill="1" applyBorder="1"/>
    <xf numFmtId="0" fontId="0" fillId="12" borderId="0" xfId="0" applyFill="1"/>
    <xf numFmtId="0" fontId="1" fillId="0" borderId="0" xfId="0" applyFont="1"/>
    <xf numFmtId="0" fontId="1" fillId="5" borderId="1" xfId="0" applyFont="1" applyFill="1" applyBorder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left" wrapText="1"/>
    </xf>
    <xf numFmtId="0" fontId="0" fillId="0" borderId="1" xfId="0" applyBorder="1" applyAlignment="1">
      <alignment wrapText="1"/>
    </xf>
    <xf numFmtId="0" fontId="1" fillId="0" borderId="14" xfId="0" applyFont="1" applyBorder="1" applyAlignment="1">
      <alignment horizontal="center" vertical="center"/>
    </xf>
    <xf numFmtId="0" fontId="0" fillId="0" borderId="15" xfId="0" applyBorder="1" applyAlignment="1">
      <alignment wrapText="1"/>
    </xf>
    <xf numFmtId="0" fontId="1" fillId="0" borderId="16" xfId="0" applyFont="1" applyBorder="1" applyAlignment="1">
      <alignment horizontal="center" vertical="center"/>
    </xf>
    <xf numFmtId="0" fontId="0" fillId="0" borderId="17" xfId="0" applyBorder="1" applyAlignment="1">
      <alignment wrapText="1"/>
    </xf>
    <xf numFmtId="0" fontId="0" fillId="0" borderId="18" xfId="0" applyBorder="1" applyAlignment="1">
      <alignment wrapText="1"/>
    </xf>
    <xf numFmtId="0" fontId="0" fillId="0" borderId="1" xfId="0" applyFill="1" applyBorder="1"/>
    <xf numFmtId="0" fontId="1" fillId="14" borderId="1" xfId="0" applyFont="1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/>
    <xf numFmtId="0" fontId="1" fillId="4" borderId="1" xfId="0" applyFont="1" applyFill="1" applyBorder="1" applyAlignment="1">
      <alignment horizontal="center"/>
    </xf>
    <xf numFmtId="0" fontId="1" fillId="18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/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7" borderId="8" xfId="0" applyFont="1" applyFill="1" applyBorder="1" applyAlignment="1">
      <alignment horizontal="center" vertical="center"/>
    </xf>
    <xf numFmtId="0" fontId="1" fillId="17" borderId="10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7" xfId="0" applyFont="1" applyFill="1" applyBorder="1" applyAlignment="1">
      <alignment horizontal="center" vertical="center"/>
    </xf>
    <xf numFmtId="0" fontId="1" fillId="13" borderId="3" xfId="0" applyFont="1" applyFill="1" applyBorder="1" applyAlignment="1">
      <alignment horizontal="center" wrapText="1"/>
    </xf>
    <xf numFmtId="0" fontId="1" fillId="13" borderId="4" xfId="0" applyFont="1" applyFill="1" applyBorder="1" applyAlignment="1">
      <alignment horizontal="center"/>
    </xf>
    <xf numFmtId="0" fontId="1" fillId="13" borderId="5" xfId="0" applyFont="1" applyFill="1" applyBorder="1" applyAlignment="1">
      <alignment horizontal="center"/>
    </xf>
    <xf numFmtId="0" fontId="1" fillId="14" borderId="7" xfId="0" applyFont="1" applyFill="1" applyBorder="1" applyAlignment="1">
      <alignment horizontal="center" vertical="center" wrapText="1"/>
    </xf>
    <xf numFmtId="0" fontId="1" fillId="14" borderId="19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8" borderId="9" xfId="0" applyFont="1" applyFill="1" applyBorder="1" applyAlignment="1">
      <alignment horizontal="center" vertical="center"/>
    </xf>
    <xf numFmtId="0" fontId="1" fillId="8" borderId="10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0" fillId="0" borderId="15" xfId="0" applyBorder="1" applyAlignment="1">
      <alignment horizontal="left" wrapText="1"/>
    </xf>
    <xf numFmtId="0" fontId="1" fillId="0" borderId="14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305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"/>
  <sheetViews>
    <sheetView tabSelected="1" workbookViewId="0">
      <selection activeCell="I22" sqref="I22"/>
    </sheetView>
  </sheetViews>
  <sheetFormatPr defaultRowHeight="15" x14ac:dyDescent="0.25"/>
  <cols>
    <col min="1" max="1" width="10.85546875" customWidth="1"/>
    <col min="2" max="2" width="8.7109375" customWidth="1"/>
    <col min="3" max="3" width="12.7109375" bestFit="1" customWidth="1"/>
    <col min="4" max="4" width="15" customWidth="1"/>
    <col min="5" max="5" width="14.85546875" bestFit="1" customWidth="1"/>
    <col min="6" max="6" width="12.7109375" bestFit="1" customWidth="1"/>
    <col min="7" max="7" width="5.85546875" customWidth="1"/>
    <col min="8" max="8" width="16.7109375" customWidth="1"/>
    <col min="9" max="9" width="28.5703125" customWidth="1"/>
    <col min="10" max="10" width="20" customWidth="1"/>
    <col min="11" max="11" width="14.7109375" bestFit="1" customWidth="1"/>
    <col min="12" max="12" width="10.42578125" bestFit="1" customWidth="1"/>
    <col min="13" max="13" width="12.7109375" bestFit="1" customWidth="1"/>
    <col min="14" max="15" width="14.85546875" bestFit="1" customWidth="1"/>
    <col min="16" max="17" width="16.85546875" bestFit="1" customWidth="1"/>
  </cols>
  <sheetData>
    <row r="1" spans="1:10" ht="46.5" customHeight="1" x14ac:dyDescent="0.25">
      <c r="A1" s="24" t="s">
        <v>5</v>
      </c>
      <c r="B1" s="24" t="s">
        <v>6</v>
      </c>
      <c r="C1" s="24" t="s">
        <v>236</v>
      </c>
      <c r="D1" s="24" t="s">
        <v>241</v>
      </c>
      <c r="E1" s="24" t="s">
        <v>240</v>
      </c>
      <c r="F1" s="24" t="s">
        <v>7</v>
      </c>
      <c r="G1" s="24" t="s">
        <v>8</v>
      </c>
      <c r="H1" s="24" t="s">
        <v>54</v>
      </c>
      <c r="I1" s="25"/>
      <c r="J1" s="26"/>
    </row>
    <row r="2" spans="1:10" ht="46.5" customHeight="1" x14ac:dyDescent="0.25">
      <c r="A2" s="49" t="s">
        <v>229</v>
      </c>
      <c r="B2" s="50"/>
      <c r="C2" s="50"/>
      <c r="D2" s="50"/>
      <c r="E2" s="50"/>
      <c r="F2" s="50"/>
      <c r="G2" s="50"/>
      <c r="H2" s="50"/>
    </row>
    <row r="3" spans="1:10" ht="14.25" customHeight="1" x14ac:dyDescent="0.25">
      <c r="A3" s="38" t="s">
        <v>129</v>
      </c>
      <c r="B3" s="19" t="s">
        <v>47</v>
      </c>
      <c r="C3" s="19" t="s">
        <v>49</v>
      </c>
      <c r="D3" s="19"/>
      <c r="E3" s="19" t="s">
        <v>51</v>
      </c>
      <c r="F3" s="19"/>
      <c r="G3" s="19">
        <v>10</v>
      </c>
      <c r="H3" s="19" t="s">
        <v>167</v>
      </c>
    </row>
    <row r="4" spans="1:10" x14ac:dyDescent="0.25">
      <c r="A4" s="38"/>
      <c r="B4" s="19" t="s">
        <v>48</v>
      </c>
      <c r="C4" s="19" t="s">
        <v>50</v>
      </c>
      <c r="D4" s="19"/>
      <c r="E4" s="19" t="s">
        <v>51</v>
      </c>
      <c r="F4" s="19"/>
      <c r="G4" s="19">
        <v>11</v>
      </c>
      <c r="H4" s="19" t="s">
        <v>167</v>
      </c>
    </row>
    <row r="5" spans="1:10" x14ac:dyDescent="0.25">
      <c r="A5" s="38"/>
      <c r="B5" s="19" t="s">
        <v>3</v>
      </c>
      <c r="C5" s="19" t="s">
        <v>114</v>
      </c>
      <c r="D5" s="19" t="s">
        <v>238</v>
      </c>
      <c r="E5" s="19" t="s">
        <v>59</v>
      </c>
      <c r="F5" s="19"/>
      <c r="G5" s="19"/>
      <c r="H5" s="19" t="s">
        <v>182</v>
      </c>
    </row>
    <row r="6" spans="1:10" x14ac:dyDescent="0.25">
      <c r="A6" s="38"/>
      <c r="B6" s="19" t="s">
        <v>4</v>
      </c>
      <c r="C6" s="19" t="s">
        <v>115</v>
      </c>
      <c r="D6" s="19" t="s">
        <v>239</v>
      </c>
      <c r="E6" s="19" t="s">
        <v>59</v>
      </c>
      <c r="F6" s="19"/>
      <c r="G6" s="19"/>
      <c r="H6" s="19" t="s">
        <v>181</v>
      </c>
    </row>
    <row r="7" spans="1:10" x14ac:dyDescent="0.25">
      <c r="A7" s="38"/>
      <c r="B7" s="21" t="s">
        <v>62</v>
      </c>
      <c r="C7" s="21" t="s">
        <v>237</v>
      </c>
      <c r="D7" s="21" t="s">
        <v>246</v>
      </c>
      <c r="E7" s="21" t="s">
        <v>60</v>
      </c>
      <c r="F7" s="21"/>
      <c r="G7" s="21"/>
      <c r="H7" s="21"/>
    </row>
    <row r="8" spans="1:10" x14ac:dyDescent="0.25">
      <c r="A8" s="38" t="s">
        <v>130</v>
      </c>
      <c r="B8" s="19" t="s">
        <v>47</v>
      </c>
      <c r="C8" s="19" t="s">
        <v>52</v>
      </c>
      <c r="D8" s="19"/>
      <c r="E8" s="19" t="s">
        <v>51</v>
      </c>
      <c r="F8" s="19"/>
      <c r="G8" s="19">
        <v>10</v>
      </c>
      <c r="H8" s="19" t="s">
        <v>168</v>
      </c>
    </row>
    <row r="9" spans="1:10" x14ac:dyDescent="0.25">
      <c r="A9" s="38"/>
      <c r="B9" s="19" t="s">
        <v>48</v>
      </c>
      <c r="C9" s="19" t="s">
        <v>53</v>
      </c>
      <c r="D9" s="19"/>
      <c r="E9" s="19" t="s">
        <v>51</v>
      </c>
      <c r="F9" s="19"/>
      <c r="G9" s="19">
        <v>11</v>
      </c>
      <c r="H9" s="19" t="s">
        <v>168</v>
      </c>
    </row>
    <row r="10" spans="1:10" x14ac:dyDescent="0.25">
      <c r="A10" s="38"/>
      <c r="B10" s="19" t="s">
        <v>3</v>
      </c>
      <c r="C10" s="19" t="s">
        <v>116</v>
      </c>
      <c r="D10" s="19" t="s">
        <v>244</v>
      </c>
      <c r="E10" s="19" t="s">
        <v>59</v>
      </c>
      <c r="F10" s="19"/>
      <c r="G10" s="19"/>
      <c r="H10" s="19" t="s">
        <v>179</v>
      </c>
    </row>
    <row r="11" spans="1:10" x14ac:dyDescent="0.25">
      <c r="A11" s="38"/>
      <c r="B11" s="19" t="s">
        <v>4</v>
      </c>
      <c r="C11" s="19" t="s">
        <v>117</v>
      </c>
      <c r="D11" s="19" t="s">
        <v>245</v>
      </c>
      <c r="E11" s="19" t="s">
        <v>59</v>
      </c>
      <c r="F11" s="19"/>
      <c r="G11" s="19"/>
      <c r="H11" s="19" t="s">
        <v>180</v>
      </c>
    </row>
    <row r="12" spans="1:10" x14ac:dyDescent="0.25">
      <c r="A12" s="38"/>
      <c r="B12" s="21" t="s">
        <v>62</v>
      </c>
      <c r="C12" s="21" t="s">
        <v>242</v>
      </c>
      <c r="D12" s="21" t="s">
        <v>243</v>
      </c>
      <c r="E12" s="21" t="s">
        <v>60</v>
      </c>
      <c r="F12" s="21"/>
      <c r="G12" s="21"/>
      <c r="H12" s="21"/>
    </row>
    <row r="13" spans="1:10" x14ac:dyDescent="0.25">
      <c r="A13" s="38" t="s">
        <v>127</v>
      </c>
      <c r="B13" s="19" t="s">
        <v>1</v>
      </c>
      <c r="C13" s="19" t="s">
        <v>107</v>
      </c>
      <c r="D13" s="19" t="s">
        <v>249</v>
      </c>
      <c r="E13" s="19" t="s">
        <v>59</v>
      </c>
      <c r="F13" s="19"/>
      <c r="G13" s="19"/>
      <c r="H13" s="19" t="s">
        <v>183</v>
      </c>
    </row>
    <row r="14" spans="1:10" x14ac:dyDescent="0.25">
      <c r="A14" s="38"/>
      <c r="B14" s="19" t="s">
        <v>2</v>
      </c>
      <c r="C14" s="19" t="s">
        <v>108</v>
      </c>
      <c r="D14" s="19" t="s">
        <v>250</v>
      </c>
      <c r="E14" s="19" t="s">
        <v>59</v>
      </c>
      <c r="F14" s="19"/>
      <c r="G14" s="19"/>
      <c r="H14" s="19" t="s">
        <v>184</v>
      </c>
    </row>
    <row r="15" spans="1:10" x14ac:dyDescent="0.25">
      <c r="A15" s="38"/>
      <c r="B15" s="19" t="s">
        <v>3</v>
      </c>
      <c r="C15" s="19" t="s">
        <v>126</v>
      </c>
      <c r="D15" s="19"/>
      <c r="E15" s="19" t="s">
        <v>59</v>
      </c>
      <c r="F15" s="19"/>
      <c r="G15" s="19"/>
      <c r="H15" s="19" t="s">
        <v>228</v>
      </c>
    </row>
    <row r="16" spans="1:10" x14ac:dyDescent="0.25">
      <c r="A16" s="38"/>
      <c r="B16" s="19" t="s">
        <v>4</v>
      </c>
      <c r="C16" s="19" t="s">
        <v>109</v>
      </c>
      <c r="D16" s="19" t="s">
        <v>251</v>
      </c>
      <c r="E16" s="19" t="s">
        <v>59</v>
      </c>
      <c r="F16" s="19"/>
      <c r="G16" s="19"/>
      <c r="H16" s="19" t="s">
        <v>61</v>
      </c>
    </row>
    <row r="17" spans="1:8" x14ac:dyDescent="0.25">
      <c r="A17" s="38"/>
      <c r="B17" s="19" t="s">
        <v>257</v>
      </c>
      <c r="C17" s="19" t="s">
        <v>259</v>
      </c>
      <c r="D17" s="19" t="s">
        <v>260</v>
      </c>
      <c r="E17" s="19" t="s">
        <v>59</v>
      </c>
      <c r="F17" s="19"/>
      <c r="G17" s="19"/>
      <c r="H17" s="19" t="s">
        <v>181</v>
      </c>
    </row>
    <row r="18" spans="1:8" x14ac:dyDescent="0.25">
      <c r="A18" s="38"/>
      <c r="B18" s="21" t="s">
        <v>27</v>
      </c>
      <c r="C18" s="21" t="s">
        <v>248</v>
      </c>
      <c r="D18" s="21" t="s">
        <v>247</v>
      </c>
      <c r="E18" s="21" t="s">
        <v>60</v>
      </c>
      <c r="F18" s="21"/>
      <c r="G18" s="21"/>
      <c r="H18" s="21"/>
    </row>
    <row r="19" spans="1:8" x14ac:dyDescent="0.25">
      <c r="A19" s="38" t="s">
        <v>128</v>
      </c>
      <c r="B19" s="19" t="s">
        <v>1</v>
      </c>
      <c r="C19" s="19" t="s">
        <v>110</v>
      </c>
      <c r="D19" s="19" t="s">
        <v>254</v>
      </c>
      <c r="E19" s="19" t="s">
        <v>59</v>
      </c>
      <c r="F19" s="19"/>
      <c r="G19" s="19"/>
      <c r="H19" s="19" t="s">
        <v>185</v>
      </c>
    </row>
    <row r="20" spans="1:8" x14ac:dyDescent="0.25">
      <c r="A20" s="38"/>
      <c r="B20" s="19" t="s">
        <v>2</v>
      </c>
      <c r="C20" s="19" t="s">
        <v>111</v>
      </c>
      <c r="D20" s="19" t="s">
        <v>255</v>
      </c>
      <c r="E20" s="19" t="s">
        <v>59</v>
      </c>
      <c r="F20" s="19"/>
      <c r="G20" s="19"/>
      <c r="H20" s="19" t="s">
        <v>186</v>
      </c>
    </row>
    <row r="21" spans="1:8" x14ac:dyDescent="0.25">
      <c r="A21" s="38"/>
      <c r="B21" s="19" t="s">
        <v>3</v>
      </c>
      <c r="C21" s="19" t="s">
        <v>112</v>
      </c>
      <c r="D21" s="19"/>
      <c r="E21" s="19" t="s">
        <v>59</v>
      </c>
      <c r="F21" s="19"/>
      <c r="G21" s="19"/>
      <c r="H21" s="19" t="s">
        <v>187</v>
      </c>
    </row>
    <row r="22" spans="1:8" x14ac:dyDescent="0.25">
      <c r="A22" s="38"/>
      <c r="B22" s="19" t="s">
        <v>4</v>
      </c>
      <c r="C22" s="19" t="s">
        <v>113</v>
      </c>
      <c r="D22" s="19" t="s">
        <v>256</v>
      </c>
      <c r="E22" s="19" t="s">
        <v>59</v>
      </c>
      <c r="F22" s="19"/>
      <c r="G22" s="19"/>
      <c r="H22" s="19" t="s">
        <v>188</v>
      </c>
    </row>
    <row r="23" spans="1:8" x14ac:dyDescent="0.25">
      <c r="A23" s="38"/>
      <c r="B23" s="19" t="s">
        <v>257</v>
      </c>
      <c r="C23" s="19" t="s">
        <v>258</v>
      </c>
      <c r="D23" s="19" t="s">
        <v>261</v>
      </c>
      <c r="E23" s="19" t="s">
        <v>59</v>
      </c>
      <c r="F23" s="19"/>
      <c r="G23" s="19"/>
      <c r="H23" s="19" t="s">
        <v>180</v>
      </c>
    </row>
    <row r="24" spans="1:8" x14ac:dyDescent="0.25">
      <c r="A24" s="38"/>
      <c r="B24" s="21" t="s">
        <v>62</v>
      </c>
      <c r="C24" s="21" t="s">
        <v>252</v>
      </c>
      <c r="D24" s="21" t="s">
        <v>253</v>
      </c>
      <c r="E24" s="21" t="s">
        <v>51</v>
      </c>
      <c r="F24" s="21"/>
      <c r="G24" s="21"/>
      <c r="H24" s="21"/>
    </row>
    <row r="25" spans="1:8" x14ac:dyDescent="0.25">
      <c r="A25" s="38" t="s">
        <v>131</v>
      </c>
      <c r="B25" s="19" t="s">
        <v>1</v>
      </c>
      <c r="C25" s="19" t="s">
        <v>118</v>
      </c>
      <c r="D25" s="19" t="s">
        <v>264</v>
      </c>
      <c r="E25" s="19" t="s">
        <v>59</v>
      </c>
      <c r="F25" s="19"/>
      <c r="G25" s="19"/>
      <c r="H25" s="19" t="s">
        <v>189</v>
      </c>
    </row>
    <row r="26" spans="1:8" x14ac:dyDescent="0.25">
      <c r="A26" s="38"/>
      <c r="B26" s="21" t="s">
        <v>62</v>
      </c>
      <c r="C26" s="21" t="s">
        <v>262</v>
      </c>
      <c r="D26" s="21" t="s">
        <v>263</v>
      </c>
      <c r="E26" s="21" t="s">
        <v>60</v>
      </c>
      <c r="F26" s="21"/>
      <c r="G26" s="21"/>
      <c r="H26" s="21"/>
    </row>
    <row r="27" spans="1:8" x14ac:dyDescent="0.25">
      <c r="A27" s="38" t="s">
        <v>132</v>
      </c>
      <c r="B27" s="19" t="s">
        <v>1</v>
      </c>
      <c r="C27" s="19" t="s">
        <v>119</v>
      </c>
      <c r="D27" s="19" t="s">
        <v>266</v>
      </c>
      <c r="E27" s="19" t="s">
        <v>59</v>
      </c>
      <c r="F27" s="19"/>
      <c r="G27" s="19"/>
      <c r="H27" s="19" t="s">
        <v>190</v>
      </c>
    </row>
    <row r="28" spans="1:8" x14ac:dyDescent="0.25">
      <c r="A28" s="38"/>
      <c r="B28" s="21" t="s">
        <v>62</v>
      </c>
      <c r="C28" s="21" t="s">
        <v>265</v>
      </c>
      <c r="D28" s="21" t="s">
        <v>267</v>
      </c>
      <c r="E28" s="21" t="s">
        <v>60</v>
      </c>
      <c r="F28" s="21"/>
      <c r="G28" s="21"/>
      <c r="H28" s="21"/>
    </row>
    <row r="29" spans="1:8" x14ac:dyDescent="0.25">
      <c r="A29" s="20" t="s">
        <v>133</v>
      </c>
      <c r="B29" s="19" t="s">
        <v>125</v>
      </c>
      <c r="C29" s="19" t="s">
        <v>120</v>
      </c>
      <c r="D29" s="19"/>
      <c r="E29" s="19" t="s">
        <v>29</v>
      </c>
      <c r="F29" s="19" t="s">
        <v>124</v>
      </c>
      <c r="G29" s="19">
        <v>90</v>
      </c>
      <c r="H29" s="19" t="s">
        <v>14</v>
      </c>
    </row>
    <row r="30" spans="1:8" x14ac:dyDescent="0.25">
      <c r="A30" s="20" t="s">
        <v>134</v>
      </c>
      <c r="B30" s="19" t="s">
        <v>125</v>
      </c>
      <c r="C30" s="19" t="s">
        <v>121</v>
      </c>
      <c r="D30" s="19"/>
      <c r="E30" s="19" t="s">
        <v>29</v>
      </c>
      <c r="F30" s="19" t="s">
        <v>124</v>
      </c>
      <c r="G30" s="19">
        <v>90</v>
      </c>
      <c r="H30" s="19" t="s">
        <v>14</v>
      </c>
    </row>
    <row r="31" spans="1:8" x14ac:dyDescent="0.25">
      <c r="A31" s="20" t="s">
        <v>135</v>
      </c>
      <c r="B31" s="19" t="s">
        <v>125</v>
      </c>
      <c r="C31" s="19" t="s">
        <v>122</v>
      </c>
      <c r="D31" s="19"/>
      <c r="E31" s="19" t="s">
        <v>29</v>
      </c>
      <c r="F31" s="19" t="s">
        <v>124</v>
      </c>
      <c r="G31" s="19">
        <v>90</v>
      </c>
      <c r="H31" s="19" t="s">
        <v>14</v>
      </c>
    </row>
    <row r="32" spans="1:8" x14ac:dyDescent="0.25">
      <c r="A32" s="20" t="s">
        <v>136</v>
      </c>
      <c r="B32" s="19" t="s">
        <v>125</v>
      </c>
      <c r="C32" s="19" t="s">
        <v>123</v>
      </c>
      <c r="D32" s="19"/>
      <c r="E32" s="19" t="s">
        <v>29</v>
      </c>
      <c r="F32" s="19" t="s">
        <v>124</v>
      </c>
      <c r="G32" s="19">
        <v>90</v>
      </c>
      <c r="H32" s="19" t="s">
        <v>14</v>
      </c>
    </row>
    <row r="33" spans="1:11" x14ac:dyDescent="0.25">
      <c r="A33" s="20" t="s">
        <v>137</v>
      </c>
      <c r="B33" s="19" t="s">
        <v>10</v>
      </c>
      <c r="C33" s="19" t="s">
        <v>55</v>
      </c>
      <c r="D33" s="19"/>
      <c r="E33" s="19" t="s">
        <v>51</v>
      </c>
      <c r="F33" s="19" t="s">
        <v>57</v>
      </c>
      <c r="G33" s="19">
        <v>10</v>
      </c>
      <c r="H33" s="19"/>
    </row>
    <row r="34" spans="1:11" x14ac:dyDescent="0.25">
      <c r="A34" s="20" t="s">
        <v>138</v>
      </c>
      <c r="B34" s="19" t="s">
        <v>10</v>
      </c>
      <c r="C34" s="19" t="s">
        <v>56</v>
      </c>
      <c r="D34" s="19"/>
      <c r="E34" s="19" t="s">
        <v>51</v>
      </c>
      <c r="F34" s="19" t="s">
        <v>58</v>
      </c>
      <c r="G34" s="19">
        <v>11</v>
      </c>
      <c r="H34" s="19"/>
    </row>
    <row r="35" spans="1:11" ht="34.5" customHeight="1" x14ac:dyDescent="0.25">
      <c r="A35" s="51" t="s">
        <v>230</v>
      </c>
      <c r="B35" s="52"/>
      <c r="C35" s="52"/>
      <c r="D35" s="52"/>
      <c r="E35" s="52"/>
      <c r="F35" s="52"/>
      <c r="G35" s="52"/>
      <c r="H35" s="53"/>
      <c r="I35" s="25"/>
      <c r="J35" s="25"/>
    </row>
    <row r="36" spans="1:11" x14ac:dyDescent="0.25">
      <c r="A36" s="60" t="s">
        <v>151</v>
      </c>
      <c r="B36" s="22" t="s">
        <v>101</v>
      </c>
      <c r="C36" s="22" t="s">
        <v>105</v>
      </c>
      <c r="D36" s="22"/>
      <c r="E36" s="22" t="s">
        <v>51</v>
      </c>
      <c r="F36" s="22"/>
      <c r="G36" s="22"/>
      <c r="H36" s="22" t="s">
        <v>192</v>
      </c>
    </row>
    <row r="37" spans="1:11" x14ac:dyDescent="0.25">
      <c r="A37" s="61"/>
      <c r="B37" s="22" t="s">
        <v>102</v>
      </c>
      <c r="C37" s="22" t="s">
        <v>106</v>
      </c>
      <c r="D37" s="22"/>
      <c r="E37" s="22" t="s">
        <v>51</v>
      </c>
      <c r="F37" s="22"/>
      <c r="G37" s="22"/>
      <c r="H37" s="22" t="s">
        <v>192</v>
      </c>
      <c r="J37" s="9"/>
      <c r="K37" s="9"/>
    </row>
    <row r="38" spans="1:11" x14ac:dyDescent="0.25">
      <c r="A38" s="61"/>
      <c r="B38" s="22" t="s">
        <v>2</v>
      </c>
      <c r="C38" s="22" t="s">
        <v>144</v>
      </c>
      <c r="D38" s="22"/>
      <c r="E38" s="22" t="s">
        <v>59</v>
      </c>
      <c r="F38" s="22"/>
      <c r="G38" s="22"/>
      <c r="H38" s="22" t="s">
        <v>209</v>
      </c>
    </row>
    <row r="39" spans="1:11" x14ac:dyDescent="0.25">
      <c r="A39" s="61"/>
      <c r="B39" s="22" t="s">
        <v>4</v>
      </c>
      <c r="C39" s="22" t="s">
        <v>145</v>
      </c>
      <c r="D39" s="22"/>
      <c r="E39" s="22" t="s">
        <v>59</v>
      </c>
      <c r="F39" s="22"/>
      <c r="G39" s="22"/>
      <c r="H39" s="22" t="s">
        <v>210</v>
      </c>
    </row>
    <row r="40" spans="1:11" x14ac:dyDescent="0.25">
      <c r="A40" s="62"/>
      <c r="B40" s="21" t="s">
        <v>62</v>
      </c>
      <c r="C40" s="21" t="s">
        <v>99</v>
      </c>
      <c r="D40" s="21"/>
      <c r="E40" s="21" t="s">
        <v>60</v>
      </c>
      <c r="F40" s="21"/>
      <c r="G40" s="21"/>
      <c r="H40" s="21"/>
    </row>
    <row r="41" spans="1:11" x14ac:dyDescent="0.25">
      <c r="A41" s="60" t="s">
        <v>150</v>
      </c>
      <c r="B41" s="22" t="s">
        <v>101</v>
      </c>
      <c r="C41" s="22" t="s">
        <v>103</v>
      </c>
      <c r="D41" s="22"/>
      <c r="E41" s="22" t="s">
        <v>51</v>
      </c>
      <c r="F41" s="22"/>
      <c r="G41" s="22"/>
      <c r="H41" s="22" t="s">
        <v>193</v>
      </c>
    </row>
    <row r="42" spans="1:11" x14ac:dyDescent="0.25">
      <c r="A42" s="61"/>
      <c r="B42" s="22" t="s">
        <v>102</v>
      </c>
      <c r="C42" s="22" t="s">
        <v>104</v>
      </c>
      <c r="D42" s="22"/>
      <c r="E42" s="22" t="s">
        <v>51</v>
      </c>
      <c r="F42" s="22"/>
      <c r="G42" s="22"/>
      <c r="H42" s="22" t="s">
        <v>193</v>
      </c>
    </row>
    <row r="43" spans="1:11" x14ac:dyDescent="0.25">
      <c r="A43" s="61"/>
      <c r="B43" s="22" t="s">
        <v>2</v>
      </c>
      <c r="C43" s="22" t="s">
        <v>143</v>
      </c>
      <c r="D43" s="22"/>
      <c r="E43" s="22" t="s">
        <v>59</v>
      </c>
      <c r="F43" s="22"/>
      <c r="G43" s="22"/>
      <c r="H43" s="22" t="s">
        <v>194</v>
      </c>
    </row>
    <row r="44" spans="1:11" x14ac:dyDescent="0.25">
      <c r="A44" s="62"/>
      <c r="B44" s="21" t="s">
        <v>62</v>
      </c>
      <c r="C44" s="21" t="s">
        <v>84</v>
      </c>
      <c r="D44" s="21"/>
      <c r="E44" s="21" t="s">
        <v>60</v>
      </c>
      <c r="F44" s="21"/>
      <c r="G44" s="21"/>
      <c r="H44" s="21"/>
    </row>
    <row r="45" spans="1:11" x14ac:dyDescent="0.25">
      <c r="A45" s="39" t="s">
        <v>149</v>
      </c>
      <c r="B45" s="22" t="s">
        <v>1</v>
      </c>
      <c r="C45" s="22" t="s">
        <v>139</v>
      </c>
      <c r="D45" s="22"/>
      <c r="E45" s="22" t="s">
        <v>59</v>
      </c>
      <c r="F45" s="22"/>
      <c r="G45" s="22"/>
      <c r="H45" s="22" t="s">
        <v>195</v>
      </c>
    </row>
    <row r="46" spans="1:11" x14ac:dyDescent="0.25">
      <c r="A46" s="39"/>
      <c r="B46" s="22" t="s">
        <v>2</v>
      </c>
      <c r="C46" s="22" t="s">
        <v>140</v>
      </c>
      <c r="D46" s="22"/>
      <c r="E46" s="22" t="s">
        <v>59</v>
      </c>
      <c r="F46" s="22"/>
      <c r="G46" s="22"/>
      <c r="H46" s="22" t="s">
        <v>196</v>
      </c>
    </row>
    <row r="47" spans="1:11" x14ac:dyDescent="0.25">
      <c r="A47" s="39"/>
      <c r="B47" s="22" t="s">
        <v>3</v>
      </c>
      <c r="C47" s="22" t="s">
        <v>141</v>
      </c>
      <c r="D47" s="22"/>
      <c r="E47" s="22" t="s">
        <v>59</v>
      </c>
      <c r="F47" s="22"/>
      <c r="G47" s="22"/>
      <c r="H47" s="22" t="s">
        <v>211</v>
      </c>
    </row>
    <row r="48" spans="1:11" x14ac:dyDescent="0.25">
      <c r="A48" s="39"/>
      <c r="B48" s="22" t="s">
        <v>4</v>
      </c>
      <c r="C48" s="22" t="s">
        <v>142</v>
      </c>
      <c r="D48" s="22"/>
      <c r="E48" s="22" t="s">
        <v>59</v>
      </c>
      <c r="F48" s="22"/>
      <c r="G48" s="22"/>
      <c r="H48" s="22" t="s">
        <v>212</v>
      </c>
    </row>
    <row r="49" spans="1:10" x14ac:dyDescent="0.25">
      <c r="A49" s="39"/>
      <c r="B49" s="21" t="s">
        <v>62</v>
      </c>
      <c r="C49" s="21" t="s">
        <v>85</v>
      </c>
      <c r="D49" s="21"/>
      <c r="E49" s="21" t="s">
        <v>60</v>
      </c>
      <c r="F49" s="21"/>
      <c r="G49" s="21"/>
      <c r="H49" s="21"/>
    </row>
    <row r="50" spans="1:10" x14ac:dyDescent="0.25">
      <c r="A50" s="39" t="s">
        <v>152</v>
      </c>
      <c r="B50" s="22" t="s">
        <v>1</v>
      </c>
      <c r="C50" s="22" t="s">
        <v>146</v>
      </c>
      <c r="D50" s="22"/>
      <c r="E50" s="22" t="s">
        <v>59</v>
      </c>
      <c r="F50" s="22"/>
      <c r="G50" s="22"/>
      <c r="H50" s="22" t="s">
        <v>197</v>
      </c>
    </row>
    <row r="51" spans="1:10" x14ac:dyDescent="0.25">
      <c r="A51" s="39"/>
      <c r="B51" s="21" t="s">
        <v>62</v>
      </c>
      <c r="C51" s="21" t="s">
        <v>100</v>
      </c>
      <c r="D51" s="21"/>
      <c r="E51" s="21" t="s">
        <v>60</v>
      </c>
      <c r="F51" s="21"/>
      <c r="G51" s="21"/>
      <c r="H51" s="21"/>
    </row>
    <row r="52" spans="1:10" x14ac:dyDescent="0.25">
      <c r="A52" s="23" t="s">
        <v>153</v>
      </c>
      <c r="B52" s="22" t="s">
        <v>125</v>
      </c>
      <c r="C52" s="22" t="s">
        <v>147</v>
      </c>
      <c r="D52" s="22"/>
      <c r="E52" s="22" t="s">
        <v>29</v>
      </c>
      <c r="F52" s="22" t="s">
        <v>191</v>
      </c>
      <c r="G52" s="22">
        <v>90</v>
      </c>
      <c r="H52" s="22" t="s">
        <v>14</v>
      </c>
    </row>
    <row r="53" spans="1:10" x14ac:dyDescent="0.25">
      <c r="A53" s="23" t="s">
        <v>154</v>
      </c>
      <c r="B53" s="22" t="s">
        <v>125</v>
      </c>
      <c r="C53" s="22" t="s">
        <v>148</v>
      </c>
      <c r="D53" s="22"/>
      <c r="E53" s="22" t="s">
        <v>29</v>
      </c>
      <c r="F53" s="22" t="s">
        <v>191</v>
      </c>
      <c r="G53" s="22">
        <v>90</v>
      </c>
      <c r="H53" s="22" t="s">
        <v>14</v>
      </c>
    </row>
    <row r="54" spans="1:10" x14ac:dyDescent="0.25">
      <c r="A54" s="23" t="s">
        <v>155</v>
      </c>
      <c r="B54" s="22" t="s">
        <v>10</v>
      </c>
      <c r="C54" s="22" t="s">
        <v>63</v>
      </c>
      <c r="D54" s="22"/>
      <c r="E54" s="22" t="s">
        <v>51</v>
      </c>
      <c r="F54" s="22" t="s">
        <v>65</v>
      </c>
      <c r="G54" s="22">
        <v>20</v>
      </c>
      <c r="H54" s="22"/>
    </row>
    <row r="55" spans="1:10" x14ac:dyDescent="0.25">
      <c r="A55" s="23" t="s">
        <v>156</v>
      </c>
      <c r="B55" s="22" t="s">
        <v>10</v>
      </c>
      <c r="C55" s="22" t="s">
        <v>64</v>
      </c>
      <c r="D55" s="22"/>
      <c r="E55" s="22" t="s">
        <v>51</v>
      </c>
      <c r="F55" s="22" t="s">
        <v>66</v>
      </c>
      <c r="G55" s="22">
        <v>21</v>
      </c>
      <c r="H55" s="22"/>
    </row>
    <row r="56" spans="1:10" ht="30.75" customHeight="1" x14ac:dyDescent="0.25">
      <c r="A56" s="32" t="s">
        <v>231</v>
      </c>
      <c r="B56" s="33"/>
      <c r="C56" s="33"/>
      <c r="D56" s="33"/>
      <c r="E56" s="33"/>
      <c r="F56" s="33"/>
      <c r="G56" s="33"/>
      <c r="H56" s="34"/>
      <c r="I56" s="27"/>
      <c r="J56" s="25"/>
    </row>
    <row r="57" spans="1:10" x14ac:dyDescent="0.25">
      <c r="A57" s="29" t="s">
        <v>169</v>
      </c>
      <c r="B57" s="22" t="s">
        <v>1</v>
      </c>
      <c r="C57" s="22" t="s">
        <v>67</v>
      </c>
      <c r="D57" s="22"/>
      <c r="E57" s="22" t="s">
        <v>59</v>
      </c>
      <c r="F57" s="22"/>
      <c r="G57" s="22"/>
      <c r="H57" s="22" t="s">
        <v>226</v>
      </c>
    </row>
    <row r="58" spans="1:10" x14ac:dyDescent="0.25">
      <c r="A58" s="30"/>
      <c r="B58" s="22" t="s">
        <v>2</v>
      </c>
      <c r="C58" s="22" t="s">
        <v>70</v>
      </c>
      <c r="D58" s="22"/>
      <c r="E58" s="22" t="s">
        <v>59</v>
      </c>
      <c r="F58" s="22"/>
      <c r="G58" s="22"/>
      <c r="H58" s="22" t="s">
        <v>199</v>
      </c>
    </row>
    <row r="59" spans="1:10" x14ac:dyDescent="0.25">
      <c r="A59" s="30"/>
      <c r="B59" s="22" t="s">
        <v>3</v>
      </c>
      <c r="C59" s="22" t="s">
        <v>68</v>
      </c>
      <c r="D59" s="22"/>
      <c r="E59" s="22" t="s">
        <v>59</v>
      </c>
      <c r="F59" s="22"/>
      <c r="G59" s="22"/>
      <c r="H59" s="22" t="s">
        <v>200</v>
      </c>
    </row>
    <row r="60" spans="1:10" x14ac:dyDescent="0.25">
      <c r="A60" s="31"/>
      <c r="B60" s="21" t="s">
        <v>62</v>
      </c>
      <c r="C60" s="21" t="s">
        <v>79</v>
      </c>
      <c r="D60" s="21"/>
      <c r="E60" s="21" t="s">
        <v>60</v>
      </c>
      <c r="F60" s="21"/>
      <c r="G60" s="21"/>
      <c r="H60" s="21"/>
    </row>
    <row r="61" spans="1:10" x14ac:dyDescent="0.25">
      <c r="A61" s="29" t="s">
        <v>170</v>
      </c>
      <c r="B61" s="22" t="s">
        <v>1</v>
      </c>
      <c r="C61" s="22" t="s">
        <v>166</v>
      </c>
      <c r="D61" s="22"/>
      <c r="E61" s="22" t="s">
        <v>59</v>
      </c>
      <c r="F61" s="22"/>
      <c r="G61" s="22"/>
      <c r="H61" s="22" t="s">
        <v>213</v>
      </c>
    </row>
    <row r="62" spans="1:10" x14ac:dyDescent="0.25">
      <c r="A62" s="30"/>
      <c r="B62" s="22" t="s">
        <v>2</v>
      </c>
      <c r="C62" s="22" t="s">
        <v>72</v>
      </c>
      <c r="D62" s="22"/>
      <c r="E62" s="22" t="s">
        <v>59</v>
      </c>
      <c r="F62" s="22"/>
      <c r="G62" s="22"/>
      <c r="H62" s="22" t="s">
        <v>201</v>
      </c>
    </row>
    <row r="63" spans="1:10" x14ac:dyDescent="0.25">
      <c r="A63" s="30"/>
      <c r="B63" s="22" t="s">
        <v>3</v>
      </c>
      <c r="C63" s="22" t="s">
        <v>69</v>
      </c>
      <c r="D63" s="22"/>
      <c r="E63" s="22" t="s">
        <v>59</v>
      </c>
      <c r="F63" s="22"/>
      <c r="G63" s="22"/>
      <c r="H63" s="22" t="s">
        <v>202</v>
      </c>
    </row>
    <row r="64" spans="1:10" x14ac:dyDescent="0.25">
      <c r="A64" s="30"/>
      <c r="B64" s="22" t="s">
        <v>4</v>
      </c>
      <c r="C64" s="22" t="s">
        <v>96</v>
      </c>
      <c r="D64" s="22"/>
      <c r="E64" s="22" t="s">
        <v>59</v>
      </c>
      <c r="F64" s="22"/>
      <c r="G64" s="22"/>
      <c r="H64" s="22" t="s">
        <v>214</v>
      </c>
    </row>
    <row r="65" spans="1:10" x14ac:dyDescent="0.25">
      <c r="A65" s="31"/>
      <c r="B65" s="21" t="s">
        <v>27</v>
      </c>
      <c r="C65" s="21" t="s">
        <v>80</v>
      </c>
      <c r="D65" s="21"/>
      <c r="E65" s="21" t="s">
        <v>60</v>
      </c>
      <c r="F65" s="21"/>
      <c r="G65" s="21"/>
      <c r="H65" s="21"/>
    </row>
    <row r="66" spans="1:10" x14ac:dyDescent="0.25">
      <c r="A66" s="40" t="s">
        <v>171</v>
      </c>
      <c r="B66" s="22" t="s">
        <v>1</v>
      </c>
      <c r="C66" s="22" t="s">
        <v>71</v>
      </c>
      <c r="D66" s="22"/>
      <c r="E66" s="22" t="s">
        <v>59</v>
      </c>
      <c r="F66" s="22"/>
      <c r="G66" s="22"/>
      <c r="H66" s="22" t="s">
        <v>203</v>
      </c>
    </row>
    <row r="67" spans="1:10" x14ac:dyDescent="0.25">
      <c r="A67" s="40"/>
      <c r="B67" s="22" t="s">
        <v>2</v>
      </c>
      <c r="C67" s="22" t="s">
        <v>76</v>
      </c>
      <c r="D67" s="22"/>
      <c r="E67" s="22" t="s">
        <v>59</v>
      </c>
      <c r="F67" s="22"/>
      <c r="G67" s="22"/>
      <c r="H67" s="22" t="s">
        <v>205</v>
      </c>
    </row>
    <row r="68" spans="1:10" x14ac:dyDescent="0.25">
      <c r="A68" s="40"/>
      <c r="B68" s="22" t="s">
        <v>3</v>
      </c>
      <c r="C68" s="22" t="s">
        <v>74</v>
      </c>
      <c r="D68" s="22"/>
      <c r="E68" s="22" t="s">
        <v>59</v>
      </c>
      <c r="F68" s="22"/>
      <c r="G68" s="22"/>
      <c r="H68" s="22" t="s">
        <v>204</v>
      </c>
    </row>
    <row r="69" spans="1:10" x14ac:dyDescent="0.25">
      <c r="A69" s="40"/>
      <c r="B69" s="22" t="s">
        <v>4</v>
      </c>
      <c r="C69" s="22" t="s">
        <v>87</v>
      </c>
      <c r="D69" s="22"/>
      <c r="E69" s="22" t="s">
        <v>59</v>
      </c>
      <c r="F69" s="22"/>
      <c r="G69" s="22"/>
      <c r="H69" s="22" t="s">
        <v>215</v>
      </c>
    </row>
    <row r="70" spans="1:10" x14ac:dyDescent="0.25">
      <c r="A70" s="40"/>
      <c r="B70" s="21" t="s">
        <v>27</v>
      </c>
      <c r="C70" s="21" t="s">
        <v>81</v>
      </c>
      <c r="D70" s="21"/>
      <c r="E70" s="21" t="s">
        <v>60</v>
      </c>
      <c r="F70" s="21"/>
      <c r="G70" s="21"/>
      <c r="H70" s="21"/>
    </row>
    <row r="71" spans="1:10" x14ac:dyDescent="0.25">
      <c r="A71" s="40" t="s">
        <v>172</v>
      </c>
      <c r="B71" s="22" t="s">
        <v>1</v>
      </c>
      <c r="C71" s="22" t="s">
        <v>73</v>
      </c>
      <c r="D71" s="22"/>
      <c r="E71" s="22" t="s">
        <v>59</v>
      </c>
      <c r="F71" s="22"/>
      <c r="G71" s="22"/>
      <c r="H71" s="22" t="s">
        <v>206</v>
      </c>
    </row>
    <row r="72" spans="1:10" x14ac:dyDescent="0.25">
      <c r="A72" s="40"/>
      <c r="B72" s="22" t="s">
        <v>2</v>
      </c>
      <c r="C72" s="22" t="s">
        <v>98</v>
      </c>
      <c r="D72" s="22"/>
      <c r="E72" s="22" t="s">
        <v>59</v>
      </c>
      <c r="F72" s="22"/>
      <c r="G72" s="22"/>
      <c r="H72" s="22" t="s">
        <v>216</v>
      </c>
    </row>
    <row r="73" spans="1:10" x14ac:dyDescent="0.25">
      <c r="A73" s="40"/>
      <c r="B73" s="22" t="s">
        <v>3</v>
      </c>
      <c r="C73" s="22" t="s">
        <v>75</v>
      </c>
      <c r="D73" s="22"/>
      <c r="E73" s="22" t="s">
        <v>59</v>
      </c>
      <c r="F73" s="22"/>
      <c r="G73" s="22"/>
      <c r="H73" s="22" t="s">
        <v>207</v>
      </c>
    </row>
    <row r="74" spans="1:10" x14ac:dyDescent="0.25">
      <c r="A74" s="40"/>
      <c r="B74" s="22" t="s">
        <v>4</v>
      </c>
      <c r="C74" s="22" t="s">
        <v>97</v>
      </c>
      <c r="D74" s="22"/>
      <c r="E74" s="22" t="s">
        <v>59</v>
      </c>
      <c r="F74" s="22"/>
      <c r="G74" s="22"/>
      <c r="H74" s="22" t="s">
        <v>208</v>
      </c>
    </row>
    <row r="75" spans="1:10" x14ac:dyDescent="0.25">
      <c r="A75" s="40"/>
      <c r="B75" s="21" t="s">
        <v>27</v>
      </c>
      <c r="C75" s="21" t="s">
        <v>82</v>
      </c>
      <c r="D75" s="21"/>
      <c r="E75" s="21" t="s">
        <v>60</v>
      </c>
      <c r="F75" s="21"/>
      <c r="G75" s="21"/>
      <c r="H75" s="21"/>
    </row>
    <row r="76" spans="1:10" ht="35.25" customHeight="1" x14ac:dyDescent="0.25">
      <c r="A76" s="35" t="s">
        <v>232</v>
      </c>
      <c r="B76" s="36"/>
      <c r="C76" s="36"/>
      <c r="D76" s="36"/>
      <c r="E76" s="36"/>
      <c r="F76" s="36"/>
      <c r="G76" s="36"/>
      <c r="H76" s="37"/>
      <c r="I76" s="25"/>
      <c r="J76" s="25"/>
    </row>
    <row r="77" spans="1:10" x14ac:dyDescent="0.25">
      <c r="A77" s="63" t="s">
        <v>175</v>
      </c>
      <c r="B77" s="22" t="s">
        <v>1</v>
      </c>
      <c r="C77" s="22" t="s">
        <v>157</v>
      </c>
      <c r="D77" s="22"/>
      <c r="E77" s="22" t="s">
        <v>59</v>
      </c>
      <c r="F77" s="22"/>
      <c r="G77" s="22"/>
      <c r="H77" s="22" t="s">
        <v>217</v>
      </c>
    </row>
    <row r="78" spans="1:10" x14ac:dyDescent="0.25">
      <c r="A78" s="63"/>
      <c r="B78" s="22" t="s">
        <v>2</v>
      </c>
      <c r="C78" s="22" t="s">
        <v>158</v>
      </c>
      <c r="D78" s="22"/>
      <c r="E78" s="22" t="s">
        <v>59</v>
      </c>
      <c r="F78" s="22"/>
      <c r="G78" s="22"/>
      <c r="H78" s="22" t="s">
        <v>218</v>
      </c>
    </row>
    <row r="79" spans="1:10" x14ac:dyDescent="0.25">
      <c r="A79" s="63"/>
      <c r="B79" s="22" t="s">
        <v>88</v>
      </c>
      <c r="C79" s="22" t="s">
        <v>90</v>
      </c>
      <c r="D79" s="22"/>
      <c r="E79" s="22" t="s">
        <v>51</v>
      </c>
      <c r="F79" s="22"/>
      <c r="G79" s="22">
        <v>30</v>
      </c>
      <c r="H79" s="22" t="s">
        <v>198</v>
      </c>
    </row>
    <row r="80" spans="1:10" x14ac:dyDescent="0.25">
      <c r="A80" s="63"/>
      <c r="B80" s="22" t="s">
        <v>89</v>
      </c>
      <c r="C80" s="22" t="s">
        <v>91</v>
      </c>
      <c r="D80" s="22"/>
      <c r="E80" s="22" t="s">
        <v>51</v>
      </c>
      <c r="F80" s="22"/>
      <c r="G80" s="22">
        <v>31</v>
      </c>
      <c r="H80" s="22" t="s">
        <v>198</v>
      </c>
    </row>
    <row r="81" spans="1:10" x14ac:dyDescent="0.25">
      <c r="A81" s="63"/>
      <c r="B81" s="21" t="s">
        <v>62</v>
      </c>
      <c r="C81" s="21" t="s">
        <v>86</v>
      </c>
      <c r="D81" s="21"/>
      <c r="E81" s="21" t="s">
        <v>60</v>
      </c>
      <c r="F81" s="21"/>
      <c r="G81" s="21"/>
      <c r="H81" s="21"/>
    </row>
    <row r="82" spans="1:10" x14ac:dyDescent="0.25">
      <c r="A82" s="3" t="s">
        <v>176</v>
      </c>
      <c r="B82" s="22" t="s">
        <v>9</v>
      </c>
      <c r="C82" s="22" t="s">
        <v>93</v>
      </c>
      <c r="D82" s="22"/>
      <c r="E82" s="22" t="s">
        <v>35</v>
      </c>
      <c r="F82" s="22" t="s">
        <v>92</v>
      </c>
      <c r="G82" s="22">
        <v>55</v>
      </c>
      <c r="H82" s="22"/>
    </row>
    <row r="83" spans="1:10" x14ac:dyDescent="0.25">
      <c r="A83" s="3" t="s">
        <v>177</v>
      </c>
      <c r="B83" s="22" t="s">
        <v>10</v>
      </c>
      <c r="C83" s="22" t="s">
        <v>94</v>
      </c>
      <c r="D83" s="22"/>
      <c r="E83" s="22" t="s">
        <v>51</v>
      </c>
      <c r="F83" s="22" t="s">
        <v>90</v>
      </c>
      <c r="G83" s="22">
        <v>30</v>
      </c>
      <c r="H83" s="22"/>
    </row>
    <row r="84" spans="1:10" x14ac:dyDescent="0.25">
      <c r="A84" s="3" t="s">
        <v>178</v>
      </c>
      <c r="B84" s="22" t="s">
        <v>10</v>
      </c>
      <c r="C84" s="22" t="s">
        <v>95</v>
      </c>
      <c r="D84" s="22"/>
      <c r="E84" s="22" t="s">
        <v>51</v>
      </c>
      <c r="F84" s="22" t="s">
        <v>91</v>
      </c>
      <c r="G84" s="22">
        <v>31</v>
      </c>
      <c r="H84" s="22"/>
    </row>
    <row r="85" spans="1:10" ht="39" customHeight="1" x14ac:dyDescent="0.25">
      <c r="A85" s="54" t="s">
        <v>233</v>
      </c>
      <c r="B85" s="55"/>
      <c r="C85" s="55"/>
      <c r="D85" s="55"/>
      <c r="E85" s="55"/>
      <c r="F85" s="55"/>
      <c r="G85" s="55"/>
      <c r="H85" s="56"/>
      <c r="I85" s="28"/>
      <c r="J85" s="28"/>
    </row>
    <row r="86" spans="1:10" x14ac:dyDescent="0.25">
      <c r="A86" s="64" t="s">
        <v>173</v>
      </c>
      <c r="B86" s="22" t="s">
        <v>1</v>
      </c>
      <c r="C86" s="22" t="s">
        <v>164</v>
      </c>
      <c r="D86" s="22"/>
      <c r="E86" s="22" t="s">
        <v>59</v>
      </c>
      <c r="F86" s="22"/>
      <c r="G86" s="22"/>
      <c r="H86" s="22" t="s">
        <v>219</v>
      </c>
    </row>
    <row r="87" spans="1:10" x14ac:dyDescent="0.25">
      <c r="A87" s="65"/>
      <c r="B87" s="22" t="s">
        <v>2</v>
      </c>
      <c r="C87" s="22" t="s">
        <v>163</v>
      </c>
      <c r="D87" s="22"/>
      <c r="E87" s="22" t="s">
        <v>59</v>
      </c>
      <c r="F87" s="22"/>
      <c r="G87" s="22"/>
      <c r="H87" s="22" t="s">
        <v>225</v>
      </c>
    </row>
    <row r="88" spans="1:10" x14ac:dyDescent="0.25">
      <c r="A88" s="65"/>
      <c r="B88" s="22" t="s">
        <v>3</v>
      </c>
      <c r="C88" s="22" t="s">
        <v>165</v>
      </c>
      <c r="D88" s="22"/>
      <c r="E88" s="22" t="s">
        <v>59</v>
      </c>
      <c r="F88" s="22"/>
      <c r="G88" s="22"/>
      <c r="H88" s="22" t="s">
        <v>220</v>
      </c>
    </row>
    <row r="89" spans="1:10" x14ac:dyDescent="0.25">
      <c r="A89" s="66"/>
      <c r="B89" s="21" t="s">
        <v>62</v>
      </c>
      <c r="C89" s="21" t="s">
        <v>77</v>
      </c>
      <c r="D89" s="21"/>
      <c r="E89" s="21" t="s">
        <v>60</v>
      </c>
      <c r="F89" s="21"/>
      <c r="G89" s="21"/>
      <c r="H89" s="21"/>
    </row>
    <row r="90" spans="1:10" ht="36.75" customHeight="1" x14ac:dyDescent="0.25">
      <c r="A90" s="57" t="s">
        <v>234</v>
      </c>
      <c r="B90" s="58"/>
      <c r="C90" s="58"/>
      <c r="D90" s="58"/>
      <c r="E90" s="58"/>
      <c r="F90" s="58"/>
      <c r="G90" s="58"/>
      <c r="H90" s="59"/>
      <c r="I90" s="28"/>
      <c r="J90" s="28"/>
    </row>
    <row r="91" spans="1:10" x14ac:dyDescent="0.25">
      <c r="A91" s="43" t="s">
        <v>227</v>
      </c>
      <c r="B91" s="22" t="s">
        <v>1</v>
      </c>
      <c r="C91" s="22" t="s">
        <v>160</v>
      </c>
      <c r="D91" s="22"/>
      <c r="E91" s="22" t="s">
        <v>59</v>
      </c>
      <c r="F91" s="22"/>
      <c r="G91" s="22"/>
      <c r="H91" s="22" t="s">
        <v>221</v>
      </c>
    </row>
    <row r="92" spans="1:10" x14ac:dyDescent="0.25">
      <c r="A92" s="44"/>
      <c r="B92" s="22" t="s">
        <v>2</v>
      </c>
      <c r="C92" s="22" t="s">
        <v>161</v>
      </c>
      <c r="D92" s="22"/>
      <c r="E92" s="22" t="s">
        <v>59</v>
      </c>
      <c r="F92" s="22"/>
      <c r="G92" s="22"/>
      <c r="H92" s="22" t="s">
        <v>222</v>
      </c>
    </row>
    <row r="93" spans="1:10" x14ac:dyDescent="0.25">
      <c r="A93" s="44"/>
      <c r="B93" s="22" t="s">
        <v>3</v>
      </c>
      <c r="C93" s="22" t="s">
        <v>162</v>
      </c>
      <c r="D93" s="22"/>
      <c r="E93" s="22" t="s">
        <v>59</v>
      </c>
      <c r="F93" s="22"/>
      <c r="G93" s="22"/>
      <c r="H93" s="22" t="s">
        <v>223</v>
      </c>
    </row>
    <row r="94" spans="1:10" x14ac:dyDescent="0.25">
      <c r="A94" s="45"/>
      <c r="B94" s="21" t="s">
        <v>62</v>
      </c>
      <c r="C94" s="21" t="s">
        <v>78</v>
      </c>
      <c r="D94" s="21"/>
      <c r="E94" s="21" t="s">
        <v>60</v>
      </c>
      <c r="F94" s="21"/>
      <c r="G94" s="21"/>
      <c r="H94" s="21"/>
    </row>
    <row r="95" spans="1:10" ht="32.25" customHeight="1" x14ac:dyDescent="0.25">
      <c r="A95" s="46" t="s">
        <v>235</v>
      </c>
      <c r="B95" s="47"/>
      <c r="C95" s="47"/>
      <c r="D95" s="47"/>
      <c r="E95" s="47"/>
      <c r="F95" s="47"/>
      <c r="G95" s="47"/>
      <c r="H95" s="48"/>
      <c r="I95" s="28"/>
      <c r="J95" s="28"/>
    </row>
    <row r="96" spans="1:10" x14ac:dyDescent="0.25">
      <c r="A96" s="41" t="s">
        <v>174</v>
      </c>
      <c r="B96" s="22" t="s">
        <v>1</v>
      </c>
      <c r="C96" s="22" t="s">
        <v>159</v>
      </c>
      <c r="D96" s="22"/>
      <c r="E96" s="22" t="s">
        <v>59</v>
      </c>
      <c r="F96" s="22"/>
      <c r="G96" s="22"/>
      <c r="H96" s="22" t="s">
        <v>224</v>
      </c>
    </row>
    <row r="97" spans="1:8" x14ac:dyDescent="0.25">
      <c r="A97" s="42"/>
      <c r="B97" s="21" t="s">
        <v>62</v>
      </c>
      <c r="C97" s="21" t="s">
        <v>83</v>
      </c>
      <c r="D97" s="21"/>
      <c r="E97" s="21" t="s">
        <v>60</v>
      </c>
      <c r="F97" s="21"/>
      <c r="G97" s="21"/>
      <c r="H97" s="21"/>
    </row>
  </sheetData>
  <mergeCells count="28">
    <mergeCell ref="A96:A97"/>
    <mergeCell ref="A91:A94"/>
    <mergeCell ref="I95:J95"/>
    <mergeCell ref="A95:H95"/>
    <mergeCell ref="A2:H2"/>
    <mergeCell ref="A35:H35"/>
    <mergeCell ref="A85:H85"/>
    <mergeCell ref="A90:H90"/>
    <mergeCell ref="A41:A44"/>
    <mergeCell ref="A36:A40"/>
    <mergeCell ref="A77:A81"/>
    <mergeCell ref="A25:A26"/>
    <mergeCell ref="A27:A28"/>
    <mergeCell ref="A13:A18"/>
    <mergeCell ref="A19:A24"/>
    <mergeCell ref="A86:A89"/>
    <mergeCell ref="A3:A7"/>
    <mergeCell ref="A8:A12"/>
    <mergeCell ref="A45:A49"/>
    <mergeCell ref="A50:A51"/>
    <mergeCell ref="A66:A70"/>
    <mergeCell ref="I85:J85"/>
    <mergeCell ref="I90:J90"/>
    <mergeCell ref="A57:A60"/>
    <mergeCell ref="A61:A65"/>
    <mergeCell ref="A56:H56"/>
    <mergeCell ref="A76:H76"/>
    <mergeCell ref="A71:A75"/>
  </mergeCells>
  <phoneticPr fontId="2" type="noConversion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H3" sqref="H3"/>
    </sheetView>
  </sheetViews>
  <sheetFormatPr defaultRowHeight="15" x14ac:dyDescent="0.25"/>
  <cols>
    <col min="1" max="1" width="20.42578125" bestFit="1" customWidth="1"/>
    <col min="2" max="2" width="7.28515625" bestFit="1" customWidth="1"/>
    <col min="3" max="3" width="14.7109375" bestFit="1" customWidth="1"/>
    <col min="5" max="5" width="10.42578125" bestFit="1" customWidth="1"/>
    <col min="6" max="6" width="12.7109375" bestFit="1" customWidth="1"/>
    <col min="7" max="7" width="14.85546875" bestFit="1" customWidth="1"/>
    <col min="8" max="8" width="13.85546875" bestFit="1" customWidth="1"/>
    <col min="9" max="9" width="16.85546875" bestFit="1" customWidth="1"/>
  </cols>
  <sheetData>
    <row r="1" spans="1:9" x14ac:dyDescent="0.25">
      <c r="A1" s="1" t="s">
        <v>11</v>
      </c>
      <c r="B1" s="1" t="s">
        <v>12</v>
      </c>
      <c r="C1" s="1" t="s">
        <v>13</v>
      </c>
      <c r="E1" s="4" t="s">
        <v>40</v>
      </c>
      <c r="F1" s="4" t="s">
        <v>38</v>
      </c>
      <c r="G1" s="4" t="s">
        <v>39</v>
      </c>
      <c r="H1" s="5" t="s">
        <v>36</v>
      </c>
      <c r="I1" s="5" t="s">
        <v>37</v>
      </c>
    </row>
    <row r="2" spans="1:9" x14ac:dyDescent="0.25">
      <c r="A2" s="8" t="s">
        <v>14</v>
      </c>
      <c r="B2" s="2">
        <v>55</v>
      </c>
      <c r="C2" s="2"/>
      <c r="E2" s="2" t="s">
        <v>30</v>
      </c>
      <c r="F2" s="2" t="s">
        <v>31</v>
      </c>
      <c r="G2" s="2" t="s">
        <v>29</v>
      </c>
      <c r="H2" s="2" t="s">
        <v>41</v>
      </c>
      <c r="I2" s="2" t="s">
        <v>42</v>
      </c>
    </row>
    <row r="3" spans="1:9" x14ac:dyDescent="0.25">
      <c r="A3" s="8" t="s">
        <v>21</v>
      </c>
      <c r="B3" s="2">
        <v>10</v>
      </c>
      <c r="C3" s="2" t="s">
        <v>15</v>
      </c>
      <c r="E3" s="2" t="s">
        <v>32</v>
      </c>
      <c r="F3" s="2" t="s">
        <v>28</v>
      </c>
      <c r="G3" s="2" t="s">
        <v>29</v>
      </c>
      <c r="H3" s="2" t="s">
        <v>43</v>
      </c>
      <c r="I3" s="2" t="s">
        <v>44</v>
      </c>
    </row>
    <row r="4" spans="1:9" x14ac:dyDescent="0.25">
      <c r="A4" s="8" t="s">
        <v>22</v>
      </c>
      <c r="B4" s="2">
        <v>11</v>
      </c>
      <c r="C4" s="2" t="s">
        <v>16</v>
      </c>
      <c r="E4" s="2" t="s">
        <v>34</v>
      </c>
      <c r="F4" s="2" t="s">
        <v>33</v>
      </c>
      <c r="G4" s="2" t="s">
        <v>35</v>
      </c>
      <c r="H4" s="2" t="s">
        <v>45</v>
      </c>
      <c r="I4" s="2" t="s">
        <v>46</v>
      </c>
    </row>
    <row r="5" spans="1:9" x14ac:dyDescent="0.25">
      <c r="A5" s="8" t="s">
        <v>23</v>
      </c>
      <c r="B5" s="2">
        <v>20</v>
      </c>
      <c r="C5" s="2" t="s">
        <v>17</v>
      </c>
    </row>
    <row r="6" spans="1:9" x14ac:dyDescent="0.25">
      <c r="A6" s="8" t="s">
        <v>24</v>
      </c>
      <c r="B6" s="2">
        <v>21</v>
      </c>
      <c r="C6" s="2" t="s">
        <v>18</v>
      </c>
    </row>
    <row r="7" spans="1:9" x14ac:dyDescent="0.25">
      <c r="A7" s="8" t="s">
        <v>25</v>
      </c>
      <c r="B7" s="2">
        <v>30</v>
      </c>
      <c r="C7" s="2" t="s">
        <v>19</v>
      </c>
    </row>
    <row r="8" spans="1:9" x14ac:dyDescent="0.25">
      <c r="A8" s="8" t="s">
        <v>26</v>
      </c>
      <c r="B8" s="2">
        <v>31</v>
      </c>
      <c r="C8" s="2" t="s">
        <v>20</v>
      </c>
    </row>
    <row r="10" spans="1:9" x14ac:dyDescent="0.25">
      <c r="A10" s="6"/>
      <c r="B10" s="6"/>
    </row>
    <row r="11" spans="1:9" x14ac:dyDescent="0.25">
      <c r="A11" s="7"/>
    </row>
    <row r="12" spans="1:9" x14ac:dyDescent="0.25">
      <c r="A12" s="7"/>
    </row>
    <row r="13" spans="1:9" x14ac:dyDescent="0.25">
      <c r="A13" s="7"/>
    </row>
    <row r="14" spans="1:9" x14ac:dyDescent="0.25">
      <c r="A14" s="7"/>
    </row>
    <row r="15" spans="1:9" x14ac:dyDescent="0.25">
      <c r="A15" s="7"/>
    </row>
    <row r="16" spans="1:9" x14ac:dyDescent="0.25">
      <c r="A16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6"/>
  <sheetViews>
    <sheetView workbookViewId="0">
      <selection activeCell="B36" sqref="B36"/>
    </sheetView>
  </sheetViews>
  <sheetFormatPr defaultRowHeight="15" x14ac:dyDescent="0.25"/>
  <cols>
    <col min="1" max="1" width="24.28515625" style="11" customWidth="1"/>
    <col min="2" max="2" width="65.7109375" customWidth="1"/>
    <col min="3" max="3" width="37" style="12" customWidth="1"/>
  </cols>
  <sheetData>
    <row r="1" spans="1:3" ht="24" thickTop="1" x14ac:dyDescent="0.25">
      <c r="A1" s="67" t="s">
        <v>0</v>
      </c>
      <c r="B1" s="68"/>
      <c r="C1" s="69"/>
    </row>
    <row r="2" spans="1:3" ht="60" customHeight="1" x14ac:dyDescent="0.25">
      <c r="A2" s="71" t="str">
        <f>IP!A13</f>
        <v>MOS-R14</v>
      </c>
      <c r="B2" s="13" t="str">
        <f>"int "&amp;IP!B13&amp;CHAR(10)&amp;"ip address "&amp;IP!C13&amp;" "&amp;IP!E13&amp;CHAR(10)&amp;"description '"&amp;IP!H13&amp;"'"&amp;CHAR(10)&amp;"no shutdown"</f>
        <v>int e0/0
ip address 10.0.0.12 255.255.255.254
description 'to R12 [e0/2]'
no shutdown</v>
      </c>
      <c r="C2" s="70" t="str">
        <f>B2&amp;CHAR(10)&amp;B3&amp;CHAR(10)&amp;B4&amp;CHAR(10)&amp;B5&amp;CHAR(10)&amp;B6</f>
        <v>int e0/0
ip address 10.0.0.12 255.255.255.254
description 'to R12 [e0/2]'
no shutdown
int e0/1
ip address 10.0.0.2 255.255.255.254
description 'to R13 [e0/3]'
no shutdown
int e0/2
ip address 10.0.0.27 255.255.255.254
description 'to KIT-R22 [e0/0]'
no shutdown
int e0/3
ip address 10.0.0.4 255.255.255.254
description 'to R19.e0/0'
no shutdown
int lo
ip address 14.14.14.14  255.255.255.255
description ''
no shutdown</v>
      </c>
    </row>
    <row r="3" spans="1:3" ht="60" x14ac:dyDescent="0.25">
      <c r="A3" s="71"/>
      <c r="B3" s="13" t="str">
        <f>"int "&amp;IP!B14&amp;CHAR(10)&amp;"ip address "&amp;IP!C14&amp;" "&amp;IP!E14&amp;CHAR(10)&amp;"description '"&amp;IP!H14&amp;"'"&amp;CHAR(10)&amp;"no shutdown"</f>
        <v>int e0/1
ip address 10.0.0.2 255.255.255.254
description 'to R13 [e0/3]'
no shutdown</v>
      </c>
      <c r="C3" s="70"/>
    </row>
    <row r="4" spans="1:3" ht="60" x14ac:dyDescent="0.25">
      <c r="A4" s="71"/>
      <c r="B4" s="13" t="str">
        <f>"int "&amp;IP!B15&amp;CHAR(10)&amp;"ip address "&amp;IP!C15&amp;" "&amp;IP!E15&amp;CHAR(10)&amp;"description '"&amp;IP!H15&amp;"'"&amp;CHAR(10)&amp;"no shutdown"</f>
        <v>int e0/2
ip address 10.0.0.27 255.255.255.254
description 'to KIT-R22 [e0/0]'
no shutdown</v>
      </c>
      <c r="C4" s="70"/>
    </row>
    <row r="5" spans="1:3" ht="60" x14ac:dyDescent="0.25">
      <c r="A5" s="71"/>
      <c r="B5" s="13" t="str">
        <f>"int "&amp;IP!B16&amp;CHAR(10)&amp;"ip address "&amp;IP!C16&amp;" "&amp;IP!E16&amp;CHAR(10)&amp;"description '"&amp;IP!H16&amp;"'"&amp;CHAR(10)&amp;"no shutdown"</f>
        <v>int e0/3
ip address 10.0.0.4 255.255.255.254
description 'to R19.e0/0'
no shutdown</v>
      </c>
      <c r="C5" s="70"/>
    </row>
    <row r="6" spans="1:3" ht="60" customHeight="1" x14ac:dyDescent="0.25">
      <c r="A6" s="71"/>
      <c r="B6" s="13" t="str">
        <f>"int "&amp;IP!B18&amp;CHAR(10)&amp;"ip address "&amp;IP!C18&amp;" "&amp;IP!E18&amp;CHAR(10)&amp;"description '"&amp;IP!H18&amp;"'"&amp;CHAR(10)&amp;"no shutdown"</f>
        <v>int lo
ip address 14.14.14.14  255.255.255.255
description ''
no shutdown</v>
      </c>
      <c r="C6" s="70"/>
    </row>
    <row r="7" spans="1:3" ht="60" customHeight="1" x14ac:dyDescent="0.25">
      <c r="A7" s="71" t="str">
        <f>IP!A19</f>
        <v>MOS-R15</v>
      </c>
      <c r="B7" s="13" t="str">
        <f>"int "&amp;IP!B19&amp;CHAR(10)&amp;"ip address "&amp;IP!C19&amp;" "&amp;IP!E19&amp;CHAR(10)&amp;"description '"&amp;IP!H19&amp;"'"&amp;CHAR(10)&amp;"no shutdown"</f>
        <v>int e0/0
ip address 10.0.0.8 255.255.255.254
description 'to R13 [e0/2]'
no shutdown</v>
      </c>
      <c r="C7" s="70" t="str">
        <f>B7&amp;CHAR(10)&amp;B8&amp;CHAR(10)&amp;B9&amp;CHAR(10)&amp;B10&amp;CHAR(10)&amp;B11</f>
        <v>int e0/0
ip address 10.0.0.8 255.255.255.254
description 'to R13 [e0/2]'
no shutdown
int e0/1
ip address 10.0.0.6 255.255.255.254
description 'to R12 [e0/3]'
no shutdown
int e0/2
ip address 10.0.0.19 255.255.255.254
description 'to LAM-R21 [e0/0]'
no shutdown
int e0/3
ip address 10.0.0.10 255.255.255.254
description 'to R20 [e0/0]'
no shutdown
int lo0
ip address 15.15.15.15  255.255.255.0
description ''
no shutdown</v>
      </c>
    </row>
    <row r="8" spans="1:3" ht="60" x14ac:dyDescent="0.25">
      <c r="A8" s="71"/>
      <c r="B8" s="13" t="str">
        <f>"int "&amp;IP!B20&amp;CHAR(10)&amp;"ip address "&amp;IP!C20&amp;" "&amp;IP!E20&amp;CHAR(10)&amp;"description '"&amp;IP!H20&amp;"'"&amp;CHAR(10)&amp;"no shutdown"</f>
        <v>int e0/1
ip address 10.0.0.6 255.255.255.254
description 'to R12 [e0/3]'
no shutdown</v>
      </c>
      <c r="C8" s="70"/>
    </row>
    <row r="9" spans="1:3" ht="60" x14ac:dyDescent="0.25">
      <c r="A9" s="71"/>
      <c r="B9" s="13" t="str">
        <f>"int "&amp;IP!B21&amp;CHAR(10)&amp;"ip address "&amp;IP!C21&amp;" "&amp;IP!E21&amp;CHAR(10)&amp;"description '"&amp;IP!H21&amp;"'"&amp;CHAR(10)&amp;"no shutdown"</f>
        <v>int e0/2
ip address 10.0.0.19 255.255.255.254
description 'to LAM-R21 [e0/0]'
no shutdown</v>
      </c>
      <c r="C9" s="70"/>
    </row>
    <row r="10" spans="1:3" ht="60" x14ac:dyDescent="0.25">
      <c r="A10" s="71"/>
      <c r="B10" s="13" t="str">
        <f>"int "&amp;IP!B22&amp;CHAR(10)&amp;"ip address "&amp;IP!C22&amp;" "&amp;IP!E22&amp;CHAR(10)&amp;"description '"&amp;IP!H22&amp;"'"&amp;CHAR(10)&amp;"no shutdown"</f>
        <v>int e0/3
ip address 10.0.0.10 255.255.255.254
description 'to R20 [e0/0]'
no shutdown</v>
      </c>
      <c r="C10" s="70"/>
    </row>
    <row r="11" spans="1:3" ht="60" x14ac:dyDescent="0.25">
      <c r="A11" s="71"/>
      <c r="B11" s="13" t="str">
        <f>"int "&amp;IP!B24&amp;CHAR(10)&amp;"ip address "&amp;IP!C24&amp;" "&amp;IP!E24&amp;CHAR(10)&amp;"description '"&amp;IP!H24&amp;"'"&amp;CHAR(10)&amp;"no shutdown"</f>
        <v>int lo0
ip address 15.15.15.15  255.255.255.0
description ''
no shutdown</v>
      </c>
      <c r="C11" s="70"/>
    </row>
    <row r="12" spans="1:3" ht="60" customHeight="1" x14ac:dyDescent="0.25">
      <c r="A12" s="71" t="str">
        <f>IP!A3</f>
        <v>MOS-R12</v>
      </c>
      <c r="B12" s="13" t="str">
        <f>"int "&amp;IP!B3&amp;CHAR(10)&amp;"ip address "&amp;IP!C3&amp;" "&amp;IP!E3&amp;CHAR(10)&amp;"description '"&amp;IP!H3&amp;"'"&amp;CHAR(10)&amp;"no shutdown"</f>
        <v>int e0/0.10
ip address 192.168.10.2 255.255.255.0
description 'to SW4 [e1/0]'
no shutdown</v>
      </c>
      <c r="C12" s="70" t="e">
        <f>B12&amp;CHAR(10)&amp;B13&amp;CHAR(10)&amp;B14&amp;CHAR(10)&amp;B15&amp;CHAR(10)&amp;B16&amp;CHAR(10)&amp;B17&amp;CHAR(10)</f>
        <v>#REF!</v>
      </c>
    </row>
    <row r="13" spans="1:3" ht="60" x14ac:dyDescent="0.25">
      <c r="A13" s="71"/>
      <c r="B13" s="13" t="str">
        <f>"int "&amp;IP!B4&amp;CHAR(10)&amp;"ip address "&amp;IP!C4&amp;" "&amp;IP!E4&amp;CHAR(10)&amp;"description '"&amp;IP!H4&amp;"'"&amp;CHAR(10)&amp;"no shutdown"</f>
        <v>int e0/0.11
ip address 192.168.11.2 255.255.255.0
description 'to SW4 [e1/0]'
no shutdown</v>
      </c>
      <c r="C13" s="70"/>
    </row>
    <row r="14" spans="1:3" x14ac:dyDescent="0.25">
      <c r="A14" s="71"/>
      <c r="B14" s="13" t="e">
        <f>"int "&amp;IP!#REF!&amp;CHAR(10)&amp;"ip address "&amp;IP!#REF!&amp;" "&amp;IP!#REF!&amp;CHAR(10)&amp;"description '"&amp;IP!#REF!&amp;"'"&amp;CHAR(10)&amp;"no shutdown"</f>
        <v>#REF!</v>
      </c>
      <c r="C14" s="70"/>
    </row>
    <row r="15" spans="1:3" ht="60" x14ac:dyDescent="0.25">
      <c r="A15" s="71"/>
      <c r="B15" s="13" t="str">
        <f>"int "&amp;IP!B5&amp;CHAR(10)&amp;"ip address "&amp;IP!C5&amp;" "&amp;IP!E5&amp;CHAR(10)&amp;"description '"&amp;IP!H5&amp;"'"&amp;CHAR(10)&amp;"no shutdown"</f>
        <v>int e0/2
ip address 10.0.0.13 255.255.255.254
description 'to R14 [e0/0]'
no shutdown</v>
      </c>
      <c r="C15" s="70"/>
    </row>
    <row r="16" spans="1:3" ht="60" x14ac:dyDescent="0.25">
      <c r="A16" s="71"/>
      <c r="B16" s="13" t="str">
        <f>"int "&amp;IP!B6&amp;CHAR(10)&amp;"ip address "&amp;IP!C6&amp;" "&amp;IP!E6&amp;CHAR(10)&amp;"description '"&amp;IP!H6&amp;"'"&amp;CHAR(10)&amp;"no shutdown"</f>
        <v>int e0/3
ip address 10.0.0.7 255.255.255.254
description 'to R15 [e0/1]'
no shutdown</v>
      </c>
      <c r="C16" s="70"/>
    </row>
    <row r="17" spans="1:3" ht="60" x14ac:dyDescent="0.25">
      <c r="A17" s="71"/>
      <c r="B17" s="13" t="str">
        <f>"int "&amp;IP!B7&amp;CHAR(10)&amp;"ip address "&amp;IP!C7&amp;" "&amp;IP!E7&amp;CHAR(10)&amp;"description '"&amp;IP!H7&amp;"'"&amp;CHAR(10)&amp;"no shutdown"</f>
        <v>int lo0
ip address 12.12.12.12 255.255.255.255
description ''
no shutdown</v>
      </c>
      <c r="C17" s="70"/>
    </row>
    <row r="18" spans="1:3" ht="60" customHeight="1" x14ac:dyDescent="0.25">
      <c r="A18" s="71" t="str">
        <f>IP!A8</f>
        <v>MOS-R13</v>
      </c>
      <c r="B18" s="13" t="str">
        <f>"int "&amp;IP!B8&amp;CHAR(10)&amp;"ip address "&amp;IP!C8&amp;" "&amp;IP!E8&amp;CHAR(10)&amp;"description '"&amp;IP!H8&amp;"'"&amp;CHAR(10)&amp;"no shutdown"</f>
        <v>int e0/0.10
ip address 192.168.10.3 255.255.255.0
description 'to SW5 [e1/0]'
no shutdown</v>
      </c>
      <c r="C18" s="70" t="e">
        <f>B18&amp;CHAR(10)&amp;B19&amp;CHAR(10)&amp;B20&amp;CHAR(10)&amp;B21&amp;CHAR(10)&amp;B22&amp;CHAR(10)&amp;B23</f>
        <v>#REF!</v>
      </c>
    </row>
    <row r="19" spans="1:3" ht="60" x14ac:dyDescent="0.25">
      <c r="A19" s="71"/>
      <c r="B19" s="13" t="str">
        <f>"int "&amp;IP!B9&amp;CHAR(10)&amp;"ip address "&amp;IP!C9&amp;" "&amp;IP!E9&amp;CHAR(10)&amp;"description '"&amp;IP!H9&amp;"'"&amp;CHAR(10)&amp;"no shutdown"</f>
        <v>int e0/0.11
ip address 192.168.11.3 255.255.255.0
description 'to SW5 [e1/0]'
no shutdown</v>
      </c>
      <c r="C19" s="70"/>
    </row>
    <row r="20" spans="1:3" x14ac:dyDescent="0.25">
      <c r="A20" s="71"/>
      <c r="B20" s="13" t="e">
        <f>"int "&amp;IP!#REF!&amp;CHAR(10)&amp;"ip address "&amp;IP!#REF!&amp;" "&amp;IP!#REF!&amp;CHAR(10)&amp;"description '"&amp;IP!#REF!&amp;"'"&amp;CHAR(10)&amp;"no shutdown"</f>
        <v>#REF!</v>
      </c>
      <c r="C20" s="70"/>
    </row>
    <row r="21" spans="1:3" ht="60" x14ac:dyDescent="0.25">
      <c r="A21" s="71"/>
      <c r="B21" s="13" t="str">
        <f>"int "&amp;IP!B10&amp;CHAR(10)&amp;"ip address "&amp;IP!C10&amp;" "&amp;IP!E10&amp;CHAR(10)&amp;"description '"&amp;IP!H10&amp;"'"&amp;CHAR(10)&amp;"no shutdown"</f>
        <v>int e0/2
ip address 10.0.0.9 255.255.255.254
description 'to R15 [e0/0]'
no shutdown</v>
      </c>
      <c r="C21" s="70"/>
    </row>
    <row r="22" spans="1:3" ht="60" x14ac:dyDescent="0.25">
      <c r="A22" s="71"/>
      <c r="B22" s="13" t="str">
        <f>"int "&amp;IP!B11&amp;CHAR(10)&amp;"ip address "&amp;IP!C11&amp;" "&amp;IP!E11&amp;CHAR(10)&amp;"description '"&amp;IP!H11&amp;"'"&amp;CHAR(10)&amp;"no shutdown"</f>
        <v>int e0/3
ip address 10.0.0.3 255.255.255.254
description 'to R14 [e0/1]'
no shutdown</v>
      </c>
      <c r="C22" s="70"/>
    </row>
    <row r="23" spans="1:3" ht="60" x14ac:dyDescent="0.25">
      <c r="A23" s="71"/>
      <c r="B23" s="13" t="str">
        <f>"int "&amp;IP!B12&amp;CHAR(10)&amp;"ip address "&amp;IP!C12&amp;" "&amp;IP!E12&amp;CHAR(10)&amp;"description '"&amp;IP!H12&amp;"'"&amp;CHAR(10)&amp;"no shutdown"</f>
        <v>int lo0
ip address 13.13.13.13  255.255.255.255
description ''
no shutdown</v>
      </c>
      <c r="C23" s="70"/>
    </row>
    <row r="24" spans="1:3" ht="60" customHeight="1" x14ac:dyDescent="0.25">
      <c r="A24" s="71" t="str">
        <f>IP!A25</f>
        <v>MOS-R19</v>
      </c>
      <c r="B24" s="13" t="str">
        <f>"int "&amp;IP!B25&amp;CHAR(10)&amp;"ip address "&amp;IP!C25&amp;" "&amp;IP!E25&amp;CHAR(10)&amp;"description '"&amp;IP!H25&amp;"'"&amp;CHAR(10)&amp;"no shutdown"</f>
        <v>int e0/0
ip address 10.0.0.5 255.255.255.254
description 'to R14 [e0/3]'
no shutdown</v>
      </c>
      <c r="C24" s="70" t="str">
        <f>"hostname "&amp;A24&amp;CHAR(10)&amp;B24&amp;CHAR(10)&amp;B25</f>
        <v>hostname MOS-R19
int e0/0
ip address 10.0.0.5 255.255.255.254
description 'to R14 [e0/3]'
no shutdown
int lo0
ip address 19.19.19.19  255.255.255.255
description ''
no shutdown</v>
      </c>
    </row>
    <row r="25" spans="1:3" ht="60" x14ac:dyDescent="0.25">
      <c r="A25" s="71"/>
      <c r="B25" s="13" t="str">
        <f>"int "&amp;IP!B26&amp;CHAR(10)&amp;"ip address "&amp;IP!C26&amp;" "&amp;IP!E26&amp;CHAR(10)&amp;"description '"&amp;IP!H26&amp;"'"&amp;CHAR(10)&amp;"no shutdown"</f>
        <v>int lo0
ip address 19.19.19.19  255.255.255.255
description ''
no shutdown</v>
      </c>
      <c r="C25" s="70"/>
    </row>
    <row r="26" spans="1:3" ht="60" customHeight="1" x14ac:dyDescent="0.25">
      <c r="A26" s="71" t="str">
        <f>IP!A27</f>
        <v>MOS-R20</v>
      </c>
      <c r="B26" s="13" t="str">
        <f>"int "&amp;IP!B27&amp;CHAR(10)&amp;"ip address "&amp;IP!C27&amp;" "&amp;IP!E27&amp;CHAR(10)&amp;"description '"&amp;IP!H27&amp;"'"&amp;CHAR(10)&amp;"no shutdown"</f>
        <v>int e0/0
ip address 10.0.0.11 255.255.255.254
description 'to R15 [e0/3]'
no shutdown</v>
      </c>
      <c r="C26" s="70" t="str">
        <f>"hostname "&amp;A26&amp;CHAR(10)&amp;B26&amp;CHAR(10)&amp;B27</f>
        <v>hostname MOS-R20
int e0/0
ip address 10.0.0.11 255.255.255.254
description 'to R15 [e0/3]'
no shutdown
int lo0
ip address 20.20.20.20  255.255.255.255
description ''
no shutdown</v>
      </c>
    </row>
    <row r="27" spans="1:3" ht="60" x14ac:dyDescent="0.25">
      <c r="A27" s="71"/>
      <c r="B27" s="13" t="str">
        <f>"int "&amp;IP!B28&amp;CHAR(10)&amp;"ip address "&amp;IP!C28&amp;" "&amp;IP!E28&amp;CHAR(10)&amp;"description '"&amp;IP!H28&amp;"'"&amp;CHAR(10)&amp;"no shutdown"</f>
        <v>int lo0
ip address 20.20.20.20  255.255.255.255
description ''
no shutdown</v>
      </c>
      <c r="C27" s="70"/>
    </row>
    <row r="28" spans="1:3" ht="60" customHeight="1" x14ac:dyDescent="0.25">
      <c r="A28" s="14" t="str">
        <f>IP!A29</f>
        <v>MOS-SW4</v>
      </c>
      <c r="B28" s="13" t="str">
        <f>"int "&amp;IP!B29&amp;CHAR(10)&amp;"ip address "&amp;IP!C29&amp;" "&amp;IP!E29&amp;CHAR(10)&amp;"description '"&amp;IP!H29&amp;"'"&amp;CHAR(10)&amp;"no shutdown"</f>
        <v>int vlan90
ip address 172.16.0.6 255.255.255.240
description 'mgmt'
no shutdown</v>
      </c>
      <c r="C28" s="15" t="str">
        <f t="shared" ref="C28:C29" si="0">B28</f>
        <v>int vlan90
ip address 172.16.0.6 255.255.255.240
description 'mgmt'
no shutdown</v>
      </c>
    </row>
    <row r="29" spans="1:3" ht="60" x14ac:dyDescent="0.25">
      <c r="A29" s="14" t="str">
        <f>IP!A30</f>
        <v>MOS-SW5</v>
      </c>
      <c r="B29" s="13" t="str">
        <f>"int "&amp;IP!B30&amp;CHAR(10)&amp;"ip address "&amp;IP!C30&amp;" "&amp;IP!E30&amp;CHAR(10)&amp;"description '"&amp;IP!H30&amp;"'"&amp;CHAR(10)&amp;"no shutdown"</f>
        <v>int vlan90
ip address 172.16.0.7 255.255.255.240
description 'mgmt'
no shutdown</v>
      </c>
      <c r="C29" s="15" t="str">
        <f t="shared" si="0"/>
        <v>int vlan90
ip address 172.16.0.7 255.255.255.240
description 'mgmt'
no shutdown</v>
      </c>
    </row>
    <row r="30" spans="1:3" ht="60" x14ac:dyDescent="0.25">
      <c r="A30" s="14" t="str">
        <f>IP!A31</f>
        <v>MOS-SW2</v>
      </c>
      <c r="B30" s="13" t="str">
        <f>"int "&amp;IP!B31&amp;CHAR(10)&amp;"ip address "&amp;IP!C31&amp;" "&amp;IP!E31&amp;CHAR(10)&amp;"description '"&amp;IP!H31&amp;"'"&amp;CHAR(10)&amp;"no shutdown"</f>
        <v>int vlan90
ip address 172.16.0.8 255.255.255.240
description 'mgmt'
no shutdown</v>
      </c>
      <c r="C30" s="15" t="str">
        <f>B30</f>
        <v>int vlan90
ip address 172.16.0.8 255.255.255.240
description 'mgmt'
no shutdown</v>
      </c>
    </row>
    <row r="31" spans="1:3" ht="60.75" thickBot="1" x14ac:dyDescent="0.3">
      <c r="A31" s="16" t="str">
        <f>IP!A32</f>
        <v>MOS-SW3</v>
      </c>
      <c r="B31" s="17" t="str">
        <f>"int "&amp;IP!B32&amp;CHAR(10)&amp;"ip address "&amp;IP!C32&amp;" "&amp;IP!E32&amp;CHAR(10)&amp;"description '"&amp;IP!H32&amp;"'"&amp;CHAR(10)&amp;"no shutdown"</f>
        <v>int vlan90
ip address 172.16.0.9 255.255.255.240
description 'mgmt'
no shutdown</v>
      </c>
      <c r="C31" s="18" t="str">
        <f>B31</f>
        <v>int vlan90
ip address 172.16.0.9 255.255.255.240
description 'mgmt'
no shutdown</v>
      </c>
    </row>
    <row r="32" spans="1:3" ht="15.75" thickTop="1" x14ac:dyDescent="0.25">
      <c r="A32"/>
      <c r="C32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spans="1:3" x14ac:dyDescent="0.25">
      <c r="A97"/>
      <c r="C97"/>
    </row>
    <row r="98" spans="1:3" x14ac:dyDescent="0.25">
      <c r="A98"/>
      <c r="C98"/>
    </row>
    <row r="99" spans="1:3" x14ac:dyDescent="0.25">
      <c r="B99" s="10"/>
    </row>
    <row r="100" spans="1:3" x14ac:dyDescent="0.25">
      <c r="B100" s="10"/>
    </row>
    <row r="101" spans="1:3" x14ac:dyDescent="0.25">
      <c r="B101" s="10"/>
    </row>
    <row r="102" spans="1:3" x14ac:dyDescent="0.25">
      <c r="B102" s="10"/>
    </row>
    <row r="103" spans="1:3" x14ac:dyDescent="0.25">
      <c r="B103" s="10"/>
    </row>
    <row r="104" spans="1:3" x14ac:dyDescent="0.25">
      <c r="B104" s="10"/>
    </row>
    <row r="105" spans="1:3" x14ac:dyDescent="0.25">
      <c r="B105" s="10"/>
    </row>
    <row r="106" spans="1:3" x14ac:dyDescent="0.25">
      <c r="B106" s="10"/>
    </row>
    <row r="107" spans="1:3" x14ac:dyDescent="0.25">
      <c r="B107" s="10"/>
    </row>
    <row r="108" spans="1:3" x14ac:dyDescent="0.25">
      <c r="B108" s="10"/>
    </row>
    <row r="109" spans="1:3" x14ac:dyDescent="0.25">
      <c r="B109" s="10"/>
    </row>
    <row r="110" spans="1:3" x14ac:dyDescent="0.25">
      <c r="B110" s="10"/>
    </row>
    <row r="111" spans="1:3" x14ac:dyDescent="0.25">
      <c r="B111" s="10"/>
    </row>
    <row r="112" spans="1:3" x14ac:dyDescent="0.25">
      <c r="B112" s="10"/>
    </row>
    <row r="113" spans="2:2" x14ac:dyDescent="0.25">
      <c r="B113" s="10"/>
    </row>
    <row r="114" spans="2:2" x14ac:dyDescent="0.25">
      <c r="B114" s="10"/>
    </row>
    <row r="115" spans="2:2" x14ac:dyDescent="0.25">
      <c r="B115" s="10"/>
    </row>
    <row r="116" spans="2:2" x14ac:dyDescent="0.25">
      <c r="B116" s="10"/>
    </row>
    <row r="117" spans="2:2" x14ac:dyDescent="0.25">
      <c r="B117" s="10"/>
    </row>
    <row r="118" spans="2:2" x14ac:dyDescent="0.25">
      <c r="B118" s="10"/>
    </row>
    <row r="119" spans="2:2" x14ac:dyDescent="0.25">
      <c r="B119" s="10"/>
    </row>
    <row r="120" spans="2:2" x14ac:dyDescent="0.25">
      <c r="B120" s="10"/>
    </row>
    <row r="121" spans="2:2" x14ac:dyDescent="0.25">
      <c r="B121" s="10"/>
    </row>
    <row r="122" spans="2:2" x14ac:dyDescent="0.25">
      <c r="B122" s="10"/>
    </row>
    <row r="123" spans="2:2" x14ac:dyDescent="0.25">
      <c r="B123" s="10"/>
    </row>
    <row r="124" spans="2:2" x14ac:dyDescent="0.25">
      <c r="B124" s="10"/>
    </row>
    <row r="125" spans="2:2" x14ac:dyDescent="0.25">
      <c r="B125" s="10"/>
    </row>
    <row r="126" spans="2:2" x14ac:dyDescent="0.25">
      <c r="B126" s="10"/>
    </row>
    <row r="127" spans="2:2" x14ac:dyDescent="0.25">
      <c r="B127" s="10"/>
    </row>
    <row r="128" spans="2:2" x14ac:dyDescent="0.25">
      <c r="B128" s="10"/>
    </row>
    <row r="129" spans="2:2" x14ac:dyDescent="0.25">
      <c r="B129" s="10"/>
    </row>
    <row r="130" spans="2:2" x14ac:dyDescent="0.25">
      <c r="B130" s="10"/>
    </row>
    <row r="131" spans="2:2" x14ac:dyDescent="0.25">
      <c r="B131" s="10"/>
    </row>
    <row r="132" spans="2:2" x14ac:dyDescent="0.25">
      <c r="B132" s="10"/>
    </row>
    <row r="133" spans="2:2" x14ac:dyDescent="0.25">
      <c r="B133" s="10"/>
    </row>
    <row r="134" spans="2:2" x14ac:dyDescent="0.25">
      <c r="B134" s="10"/>
    </row>
    <row r="135" spans="2:2" x14ac:dyDescent="0.25">
      <c r="B135" s="10"/>
    </row>
    <row r="136" spans="2:2" x14ac:dyDescent="0.25">
      <c r="B136" s="10"/>
    </row>
    <row r="137" spans="2:2" x14ac:dyDescent="0.25">
      <c r="B137" s="10"/>
    </row>
    <row r="138" spans="2:2" x14ac:dyDescent="0.25">
      <c r="B138" s="10"/>
    </row>
    <row r="139" spans="2:2" x14ac:dyDescent="0.25">
      <c r="B139" s="10"/>
    </row>
    <row r="140" spans="2:2" x14ac:dyDescent="0.25">
      <c r="B140" s="10"/>
    </row>
    <row r="141" spans="2:2" x14ac:dyDescent="0.25">
      <c r="B141" s="10"/>
    </row>
    <row r="142" spans="2:2" x14ac:dyDescent="0.25">
      <c r="B142" s="10"/>
    </row>
    <row r="143" spans="2:2" x14ac:dyDescent="0.25">
      <c r="B143" s="10"/>
    </row>
    <row r="144" spans="2:2" x14ac:dyDescent="0.25">
      <c r="B144" s="10"/>
    </row>
    <row r="145" spans="2:2" x14ac:dyDescent="0.25">
      <c r="B145" s="10"/>
    </row>
    <row r="146" spans="2:2" x14ac:dyDescent="0.25">
      <c r="B146" s="10"/>
    </row>
    <row r="147" spans="2:2" x14ac:dyDescent="0.25">
      <c r="B147" s="10"/>
    </row>
    <row r="148" spans="2:2" x14ac:dyDescent="0.25">
      <c r="B148" s="10"/>
    </row>
    <row r="149" spans="2:2" x14ac:dyDescent="0.25">
      <c r="B149" s="10"/>
    </row>
    <row r="150" spans="2:2" x14ac:dyDescent="0.25">
      <c r="B150" s="10"/>
    </row>
    <row r="151" spans="2:2" x14ac:dyDescent="0.25">
      <c r="B151" s="10"/>
    </row>
    <row r="152" spans="2:2" x14ac:dyDescent="0.25">
      <c r="B152" s="10"/>
    </row>
    <row r="153" spans="2:2" x14ac:dyDescent="0.25">
      <c r="B153" s="10"/>
    </row>
    <row r="154" spans="2:2" x14ac:dyDescent="0.25">
      <c r="B154" s="10"/>
    </row>
    <row r="155" spans="2:2" x14ac:dyDescent="0.25">
      <c r="B155" s="10"/>
    </row>
    <row r="156" spans="2:2" x14ac:dyDescent="0.25">
      <c r="B156" s="10"/>
    </row>
    <row r="157" spans="2:2" x14ac:dyDescent="0.25">
      <c r="B157" s="10"/>
    </row>
    <row r="158" spans="2:2" x14ac:dyDescent="0.25">
      <c r="B158" s="10"/>
    </row>
    <row r="159" spans="2:2" x14ac:dyDescent="0.25">
      <c r="B159" s="10"/>
    </row>
    <row r="160" spans="2:2" x14ac:dyDescent="0.25">
      <c r="B160" s="10"/>
    </row>
    <row r="161" spans="2:2" x14ac:dyDescent="0.25">
      <c r="B161" s="10"/>
    </row>
    <row r="162" spans="2:2" x14ac:dyDescent="0.25">
      <c r="B162" s="10"/>
    </row>
    <row r="163" spans="2:2" x14ac:dyDescent="0.25">
      <c r="B163" s="10"/>
    </row>
    <row r="164" spans="2:2" x14ac:dyDescent="0.25">
      <c r="B164" s="10"/>
    </row>
    <row r="165" spans="2:2" x14ac:dyDescent="0.25">
      <c r="B165" s="10"/>
    </row>
    <row r="166" spans="2:2" x14ac:dyDescent="0.25">
      <c r="B166" s="10"/>
    </row>
    <row r="167" spans="2:2" x14ac:dyDescent="0.25">
      <c r="B167" s="10"/>
    </row>
    <row r="168" spans="2:2" x14ac:dyDescent="0.25">
      <c r="B168" s="10"/>
    </row>
    <row r="169" spans="2:2" x14ac:dyDescent="0.25">
      <c r="B169" s="10"/>
    </row>
    <row r="170" spans="2:2" x14ac:dyDescent="0.25">
      <c r="B170" s="10"/>
    </row>
    <row r="171" spans="2:2" x14ac:dyDescent="0.25">
      <c r="B171" s="10"/>
    </row>
    <row r="172" spans="2:2" x14ac:dyDescent="0.25">
      <c r="B172" s="10"/>
    </row>
    <row r="173" spans="2:2" x14ac:dyDescent="0.25">
      <c r="B173" s="10"/>
    </row>
    <row r="174" spans="2:2" x14ac:dyDescent="0.25">
      <c r="B174" s="10"/>
    </row>
    <row r="175" spans="2:2" x14ac:dyDescent="0.25">
      <c r="B175" s="10"/>
    </row>
    <row r="176" spans="2:2" x14ac:dyDescent="0.25">
      <c r="B176" s="10"/>
    </row>
    <row r="177" spans="2:2" x14ac:dyDescent="0.25">
      <c r="B177" s="10"/>
    </row>
    <row r="178" spans="2:2" x14ac:dyDescent="0.25">
      <c r="B178" s="10"/>
    </row>
    <row r="179" spans="2:2" x14ac:dyDescent="0.25">
      <c r="B179" s="10"/>
    </row>
    <row r="180" spans="2:2" x14ac:dyDescent="0.25">
      <c r="B180" s="10"/>
    </row>
    <row r="181" spans="2:2" x14ac:dyDescent="0.25">
      <c r="B181" s="10"/>
    </row>
    <row r="182" spans="2:2" x14ac:dyDescent="0.25">
      <c r="B182" s="10"/>
    </row>
    <row r="183" spans="2:2" x14ac:dyDescent="0.25">
      <c r="B183" s="10"/>
    </row>
    <row r="184" spans="2:2" x14ac:dyDescent="0.25">
      <c r="B184" s="10"/>
    </row>
    <row r="185" spans="2:2" x14ac:dyDescent="0.25">
      <c r="B185" s="10"/>
    </row>
    <row r="186" spans="2:2" x14ac:dyDescent="0.25">
      <c r="B186" s="10"/>
    </row>
  </sheetData>
  <mergeCells count="13">
    <mergeCell ref="C26:C27"/>
    <mergeCell ref="A2:A6"/>
    <mergeCell ref="A7:A11"/>
    <mergeCell ref="A12:A17"/>
    <mergeCell ref="A18:A23"/>
    <mergeCell ref="A24:A25"/>
    <mergeCell ref="A26:A27"/>
    <mergeCell ref="C12:C17"/>
    <mergeCell ref="A1:C1"/>
    <mergeCell ref="C7:C11"/>
    <mergeCell ref="C2:C6"/>
    <mergeCell ref="C18:C23"/>
    <mergeCell ref="C24:C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IP</vt:lpstr>
      <vt:lpstr>VLAN</vt:lpstr>
      <vt:lpstr>Int Configs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Artyom Chernyshev</dc:creator>
  <cp:lastModifiedBy>room-us</cp:lastModifiedBy>
  <cp:lastPrinted>2026-09-11T10:53:11Z</cp:lastPrinted>
  <dcterms:created xsi:type="dcterms:W3CDTF">2024-08-12T12:55:30Z</dcterms:created>
  <dcterms:modified xsi:type="dcterms:W3CDTF">2026-10-29T17:33:52Z</dcterms:modified>
</cp:coreProperties>
</file>